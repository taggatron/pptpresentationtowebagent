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Dashboard" sheetId="1" state="visible" r:id="rId1"/>
    <sheet xmlns:r="http://schemas.openxmlformats.org/officeDocument/2006/relationships" name="38-Week Master Tracker" sheetId="2" state="visible" r:id="rId2"/>
    <sheet xmlns:r="http://schemas.openxmlformats.org/officeDocument/2006/relationships" name="Unit Audit &amp; GLH" sheetId="3" state="visible" r:id="rId3"/>
    <sheet xmlns:r="http://schemas.openxmlformats.org/officeDocument/2006/relationships" name="Assessment Milestone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97D"/>
      <sz val="16"/>
    </font>
    <font>
      <name val="Calibri"/>
      <i val="1"/>
      <color rgb="00595959"/>
      <sz val="11"/>
    </font>
    <font>
      <name val="Calibri"/>
      <b val="1"/>
      <color rgb="00595959"/>
      <sz val="9"/>
    </font>
    <font>
      <name val="Calibri"/>
      <b val="1"/>
      <color rgb="001F497D"/>
      <sz val="18"/>
    </font>
    <font>
      <name val="Calibri"/>
      <i val="1"/>
      <color rgb="00595959"/>
      <sz val="9"/>
    </font>
    <font>
      <name val="Calibri"/>
      <b val="1"/>
      <color rgb="00FFFFFF"/>
      <sz val="11"/>
    </font>
    <font>
      <name val="Calibri"/>
      <color rgb="00000000"/>
      <sz val="11"/>
    </font>
    <font>
      <name val="Calibri"/>
      <b val="1"/>
      <color rgb="00000000"/>
      <sz val="11"/>
    </font>
    <font>
      <name val="Calibri"/>
      <b val="1"/>
      <color rgb="007F6000"/>
      <sz val="10"/>
    </font>
  </fonts>
  <fills count="8">
    <fill>
      <patternFill/>
    </fill>
    <fill>
      <patternFill patternType="gray125"/>
    </fill>
    <fill>
      <patternFill patternType="solid">
        <fgColor rgb="00F9FAFB"/>
        <bgColor rgb="00F9FAFB"/>
      </patternFill>
    </fill>
    <fill>
      <patternFill patternType="solid">
        <fgColor rgb="00E2EFDA"/>
        <bgColor rgb="00E2EFDA"/>
      </patternFill>
    </fill>
    <fill>
      <patternFill patternType="solid">
        <fgColor rgb="004472C4"/>
        <bgColor rgb="004472C4"/>
      </patternFill>
    </fill>
    <fill>
      <patternFill patternType="solid">
        <fgColor rgb="001F497D"/>
        <bgColor rgb="001F497D"/>
      </patternFill>
    </fill>
    <fill>
      <patternFill patternType="solid">
        <fgColor rgb="00DCE6F1"/>
        <bgColor rgb="00DCE6F1"/>
      </patternFill>
    </fill>
    <fill>
      <patternFill patternType="solid">
        <fgColor rgb="00FFF2CC"/>
        <bgColor rgb="00FFF2CC"/>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thin">
        <color rgb="00D9D9D9"/>
      </top>
      <bottom style="medium">
        <color rgb="001F497D"/>
      </bottom>
    </border>
    <border>
      <left style="thin">
        <color rgb="00D9D9D9"/>
      </left>
      <right style="thin">
        <color rgb="00D9D9D9"/>
      </right>
      <top style="thin">
        <color rgb="001F497D"/>
      </top>
      <bottom style="double">
        <color rgb="001F497D"/>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3" fontId="4" fillId="3" borderId="1" applyAlignment="1" pivotButton="0" quotePrefix="0" xfId="0">
      <alignment horizontal="center" vertical="center"/>
    </xf>
    <xf numFmtId="0" fontId="5" fillId="2" borderId="1" applyAlignment="1" pivotButton="0" quotePrefix="0" xfId="0">
      <alignment horizontal="center" vertical="center"/>
    </xf>
    <xf numFmtId="0" fontId="6" fillId="4" borderId="0" pivotButton="0" quotePrefix="0" xfId="0"/>
    <xf numFmtId="0" fontId="6" fillId="5" borderId="2"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left" vertical="center"/>
    </xf>
    <xf numFmtId="3" fontId="7" fillId="0" borderId="1" applyAlignment="1" pivotButton="0" quotePrefix="0" xfId="0">
      <alignment horizontal="right" vertical="center"/>
    </xf>
    <xf numFmtId="0" fontId="7" fillId="6" borderId="1" applyAlignment="1" pivotButton="0" quotePrefix="0" xfId="0">
      <alignment horizontal="center" vertical="center"/>
    </xf>
    <xf numFmtId="0" fontId="8" fillId="2" borderId="3" pivotButton="0" quotePrefix="0" xfId="0"/>
    <xf numFmtId="0" fontId="0" fillId="2" borderId="3" pivotButton="0" quotePrefix="0" xfId="0"/>
    <xf numFmtId="3" fontId="8" fillId="2" borderId="3" pivotButton="0" quotePrefix="0" xfId="0"/>
    <xf numFmtId="0" fontId="8" fillId="2" borderId="3" applyAlignment="1" pivotButton="0" quotePrefix="0" xfId="0">
      <alignment horizontal="center" vertical="center"/>
    </xf>
    <xf numFmtId="0" fontId="8" fillId="2" borderId="3" applyAlignment="1" pivotButton="0" quotePrefix="0" xfId="0">
      <alignment horizontal="right" vertical="center"/>
    </xf>
    <xf numFmtId="0" fontId="6" fillId="5" borderId="0" applyAlignment="1" pivotButton="0" quotePrefix="0" xfId="0">
      <alignment horizontal="center" vertical="center" wrapText="1"/>
    </xf>
    <xf numFmtId="0" fontId="8" fillId="0" borderId="1" applyAlignment="1" pivotButton="0" quotePrefix="0" xfId="0">
      <alignment horizontal="left" vertical="center"/>
    </xf>
    <xf numFmtId="0" fontId="8" fillId="0" borderId="1" applyAlignment="1" pivotButton="0" quotePrefix="0" xfId="0">
      <alignment horizontal="center" vertical="center"/>
    </xf>
    <xf numFmtId="3" fontId="8" fillId="3" borderId="1" applyAlignment="1" pivotButton="0" quotePrefix="0" xfId="0">
      <alignment horizontal="right" vertical="center"/>
    </xf>
    <xf numFmtId="3" fontId="7" fillId="3" borderId="1" applyAlignment="1" pivotButton="0" quotePrefix="0" xfId="0">
      <alignment horizontal="right" vertical="center"/>
    </xf>
    <xf numFmtId="0" fontId="9" fillId="7" borderId="1" applyAlignment="1" pivotButton="0" quotePrefix="0" xfId="0">
      <alignment horizontal="left" vertical="center"/>
    </xf>
    <xf numFmtId="0" fontId="7" fillId="2" borderId="1" applyAlignment="1" pivotButton="0" quotePrefix="0" xfId="0">
      <alignment horizontal="center" vertical="center"/>
    </xf>
    <xf numFmtId="0" fontId="7" fillId="2" borderId="1" applyAlignment="1" pivotButton="0" quotePrefix="0" xfId="0">
      <alignment horizontal="left" vertical="center"/>
    </xf>
    <xf numFmtId="3" fontId="7" fillId="2" borderId="1" applyAlignment="1" pivotButton="0" quotePrefix="0" xfId="0">
      <alignment horizontal="right" vertical="center"/>
    </xf>
    <xf numFmtId="0" fontId="8" fillId="0" borderId="3" pivotButton="0" quotePrefix="0" xfId="0"/>
    <xf numFmtId="3" fontId="8"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selection activeCell="A1" sqref="A1"/>
    </sheetView>
  </sheetViews>
  <sheetFormatPr baseColWidth="8" defaultRowHeight="15"/>
  <cols>
    <col width="111" customWidth="1" min="1" max="1"/>
    <col width="38" customWidth="1" min="2" max="2"/>
    <col width="18" customWidth="1" min="3" max="3"/>
    <col width="15" customWidth="1" min="4" max="4"/>
    <col width="23" customWidth="1" min="5" max="5"/>
    <col width="16" customWidth="1" min="6" max="6"/>
    <col width="26" customWidth="1" min="7" max="7"/>
    <col width="14" customWidth="1" min="8" max="8"/>
    <col width="70" customWidth="1" min="9" max="9"/>
    <col width="14" customWidth="1" min="10" max="10"/>
  </cols>
  <sheetData>
    <row r="1">
      <c r="A1" s="1" t="inlineStr">
        <is>
          <t>City &amp; Guilds 2365-02 / NOCN Level 2 Diploma in Electrical Installations</t>
        </is>
      </c>
    </row>
    <row r="2">
      <c r="A2" s="2" t="inlineStr">
        <is>
          <t>1-Year Blended Evening Delivery Tracker (Option B: 3 hrs Evening Class + 9 hrs Directed Online Study / Week)</t>
        </is>
      </c>
    </row>
    <row r="3"/>
    <row r="4">
      <c r="A4" s="3" t="inlineStr">
        <is>
          <t>Course Duration</t>
        </is>
      </c>
      <c r="C4" s="3" t="inlineStr">
        <is>
          <t>Total Qualification GLH</t>
        </is>
      </c>
      <c r="E4" s="3" t="inlineStr">
        <is>
          <t>Total Planned Hours</t>
        </is>
      </c>
      <c r="G4" s="3" t="inlineStr">
        <is>
          <t>In-Person Evening Hours</t>
        </is>
      </c>
      <c r="I4" s="3" t="inlineStr">
        <is>
          <t>Directed Online Hours</t>
        </is>
      </c>
    </row>
    <row r="5">
      <c r="A5" s="4" t="n">
        <v>38</v>
      </c>
      <c r="C5" s="4">
        <f>SUM('Unit Audit &amp; GLH'!C6:C10)</f>
        <v/>
      </c>
      <c r="E5" s="4">
        <f>SUM('38-Week Master Tracker'!I8:I45)</f>
        <v/>
      </c>
      <c r="G5" s="4">
        <f>SUM('38-Week Master Tracker'!G8:G45)</f>
        <v/>
      </c>
      <c r="I5" s="4">
        <f>SUM('38-Week Master Tracker'!H8:H45)</f>
        <v/>
      </c>
    </row>
    <row r="6">
      <c r="A6" s="5" t="inlineStr">
        <is>
          <t>Weeks (1 Year)</t>
        </is>
      </c>
      <c r="C6" s="5" t="inlineStr">
        <is>
          <t>Required GLH</t>
        </is>
      </c>
      <c r="E6" s="5" t="inlineStr">
        <is>
          <t>12 Hours / Week Pace</t>
        </is>
      </c>
      <c r="G6" s="5" t="inlineStr">
        <is>
          <t>3 hrs/wk (6pm - 9pm)</t>
        </is>
      </c>
      <c r="I6" s="5" t="inlineStr">
        <is>
          <t>9 hrs/wk Distance Study</t>
        </is>
      </c>
    </row>
    <row r="7"/>
    <row r="8">
      <c r="A8" s="6" t="inlineStr">
        <is>
          <t>UNIT GLH PROGRESS &amp; ASSESSMENT STATUS</t>
        </is>
      </c>
    </row>
    <row r="9">
      <c r="A9" s="7" t="inlineStr">
        <is>
          <t>Unit Code</t>
        </is>
      </c>
      <c r="B9" s="7" t="inlineStr">
        <is>
          <t>Unit Title</t>
        </is>
      </c>
      <c r="C9" s="7" t="inlineStr">
        <is>
          <t>Qualification GLH</t>
        </is>
      </c>
      <c r="D9" s="7" t="inlineStr">
        <is>
          <t>Target Weeks</t>
        </is>
      </c>
      <c r="E9" s="7" t="inlineStr">
        <is>
          <t>Weekly Pace (hrs/wk)</t>
        </is>
      </c>
      <c r="F9" s="7" t="inlineStr">
        <is>
          <t>Planned Hours</t>
        </is>
      </c>
      <c r="G9" s="7" t="inlineStr">
        <is>
          <t>Practical Task</t>
        </is>
      </c>
      <c r="H9" s="7" t="inlineStr">
        <is>
          <t>Online Exam</t>
        </is>
      </c>
      <c r="I9" s="7" t="inlineStr">
        <is>
          <t>Target Completion</t>
        </is>
      </c>
      <c r="J9" s="7" t="inlineStr">
        <is>
          <t>Unit Status</t>
        </is>
      </c>
    </row>
    <row r="10">
      <c r="A10" s="8" t="inlineStr">
        <is>
          <t>Unit 201</t>
        </is>
      </c>
      <c r="B10" s="9" t="inlineStr">
        <is>
          <t>Health &amp; Safety in Building Services Engineering</t>
        </is>
      </c>
      <c r="C10" s="10" t="n">
        <v>26</v>
      </c>
      <c r="D10" s="8" t="inlineStr">
        <is>
          <t>Wks 1–3</t>
        </is>
      </c>
      <c r="E10" s="10" t="n">
        <v>12</v>
      </c>
      <c r="F10" s="10">
        <f>26</f>
        <v/>
      </c>
      <c r="G10" s="8" t="inlineStr">
        <is>
          <t>Task 211</t>
        </is>
      </c>
      <c r="H10" s="8" t="inlineStr">
        <is>
          <t>Exam 601</t>
        </is>
      </c>
      <c r="I10" s="8" t="inlineStr">
        <is>
          <t>Week 3</t>
        </is>
      </c>
      <c r="J10" s="11" t="inlineStr">
        <is>
          <t>Completed</t>
        </is>
      </c>
    </row>
    <row r="11">
      <c r="A11" s="8" t="inlineStr">
        <is>
          <t>Unit 210</t>
        </is>
      </c>
      <c r="B11" s="9" t="inlineStr">
        <is>
          <t>Communication in Building Services Engineering</t>
        </is>
      </c>
      <c r="C11" s="10" t="n">
        <v>28</v>
      </c>
      <c r="D11" s="8" t="inlineStr">
        <is>
          <t>Wks 4–6</t>
        </is>
      </c>
      <c r="E11" s="10" t="n">
        <v>12</v>
      </c>
      <c r="F11" s="10">
        <f>28</f>
        <v/>
      </c>
      <c r="G11" s="8" t="inlineStr">
        <is>
          <t>Assignment</t>
        </is>
      </c>
      <c r="H11" s="8" t="inlineStr">
        <is>
          <t>Exam 210</t>
        </is>
      </c>
      <c r="I11" s="8" t="inlineStr">
        <is>
          <t>Week 6</t>
        </is>
      </c>
      <c r="J11" s="11" t="inlineStr">
        <is>
          <t>In Progress</t>
        </is>
      </c>
    </row>
    <row r="12">
      <c r="A12" s="8" t="inlineStr">
        <is>
          <t>Unit 202</t>
        </is>
      </c>
      <c r="B12" s="9" t="inlineStr">
        <is>
          <t>Principles of Electrical Science</t>
        </is>
      </c>
      <c r="C12" s="10" t="n">
        <v>89</v>
      </c>
      <c r="D12" s="8" t="inlineStr">
        <is>
          <t>Wks 7–14</t>
        </is>
      </c>
      <c r="E12" s="10" t="n">
        <v>12</v>
      </c>
      <c r="F12" s="10">
        <f>89</f>
        <v/>
      </c>
      <c r="G12" s="8" t="inlineStr">
        <is>
          <t>N/A</t>
        </is>
      </c>
      <c r="H12" s="8" t="inlineStr">
        <is>
          <t>Exam 602</t>
        </is>
      </c>
      <c r="I12" s="8" t="inlineStr">
        <is>
          <t>Week 14</t>
        </is>
      </c>
      <c r="J12" s="11" t="inlineStr">
        <is>
          <t>Not Started</t>
        </is>
      </c>
    </row>
    <row r="13">
      <c r="A13" s="8" t="inlineStr">
        <is>
          <t>Unit 203</t>
        </is>
      </c>
      <c r="B13" s="9" t="inlineStr">
        <is>
          <t>Electrical Installations Technology</t>
        </is>
      </c>
      <c r="C13" s="10" t="n">
        <v>115</v>
      </c>
      <c r="D13" s="8" t="inlineStr">
        <is>
          <t>Wks 15–24</t>
        </is>
      </c>
      <c r="E13" s="10" t="n">
        <v>12</v>
      </c>
      <c r="F13" s="10">
        <f>115</f>
        <v/>
      </c>
      <c r="G13" s="8" t="inlineStr">
        <is>
          <t>N/A</t>
        </is>
      </c>
      <c r="H13" s="8" t="inlineStr">
        <is>
          <t>Exam 203</t>
        </is>
      </c>
      <c r="I13" s="8" t="inlineStr">
        <is>
          <t>Week 24</t>
        </is>
      </c>
      <c r="J13" s="11" t="inlineStr">
        <is>
          <t>Not Started</t>
        </is>
      </c>
    </row>
    <row r="14">
      <c r="A14" s="8" t="inlineStr">
        <is>
          <t>Unit 204</t>
        </is>
      </c>
      <c r="B14" s="9" t="inlineStr">
        <is>
          <t>Installation of Wiring Systems &amp; Enclosures</t>
        </is>
      </c>
      <c r="C14" s="10" t="n">
        <v>196</v>
      </c>
      <c r="D14" s="8" t="inlineStr">
        <is>
          <t>Wks 25–38</t>
        </is>
      </c>
      <c r="E14" s="10" t="n">
        <v>12</v>
      </c>
      <c r="F14" s="10">
        <f>196</f>
        <v/>
      </c>
      <c r="G14" s="8" t="inlineStr">
        <is>
          <t>Task 204</t>
        </is>
      </c>
      <c r="H14" s="8" t="inlineStr">
        <is>
          <t>N/A</t>
        </is>
      </c>
      <c r="I14" s="8" t="inlineStr">
        <is>
          <t>Week 38</t>
        </is>
      </c>
      <c r="J14" s="11" t="inlineStr">
        <is>
          <t>Not Started</t>
        </is>
      </c>
    </row>
    <row r="15">
      <c r="A15" s="12" t="inlineStr">
        <is>
          <t>TOTAL DIPLOMA QUALIFICATION</t>
        </is>
      </c>
      <c r="B15" s="13" t="n"/>
      <c r="C15" s="14">
        <f>SUM(C10:C14)</f>
        <v/>
      </c>
      <c r="D15" s="15" t="inlineStr">
        <is>
          <t>38 Weeks</t>
        </is>
      </c>
      <c r="E15" s="16" t="n">
        <v>12</v>
      </c>
      <c r="F15" s="14">
        <f>SUM(F10:F14)</f>
        <v/>
      </c>
      <c r="G15" s="13" t="n"/>
      <c r="H15" s="13" t="n"/>
      <c r="I15" s="13" t="n"/>
      <c r="J15" s="13" t="n"/>
    </row>
    <row r="16"/>
    <row r="17">
      <c r="A17" s="6" t="inlineStr">
        <is>
          <t>OPTION B BLENDED DELIVERY MODEL STRUCTURE (38-WEEK INTENSIVE)</t>
        </is>
      </c>
    </row>
    <row r="18">
      <c r="A18" s="17" t="inlineStr">
        <is>
          <t>Component</t>
        </is>
      </c>
      <c r="B18" s="17" t="inlineStr">
        <is>
          <t>Hours / Wk</t>
        </is>
      </c>
      <c r="C18" s="17" t="inlineStr">
        <is>
          <t>Delivery Format &amp; Learning Activities</t>
        </is>
      </c>
      <c r="D18" s="17" t="n"/>
      <c r="E18" s="17" t="n"/>
      <c r="F18" s="17" t="n"/>
      <c r="G18" s="17" t="n"/>
      <c r="H18" s="17" t="n"/>
      <c r="I18" s="17" t="inlineStr">
        <is>
          <t>Assessment Alignment</t>
        </is>
      </c>
      <c r="J18" s="17" t="n"/>
    </row>
    <row r="19">
      <c r="A19" s="18" t="inlineStr">
        <is>
          <t>1. In-Person Evening Class</t>
        </is>
      </c>
      <c r="B19" s="19" t="inlineStr">
        <is>
          <t>3.0 Hours</t>
        </is>
      </c>
      <c r="C19" s="9" t="inlineStr">
        <is>
          <t>6:00 PM – 9:00 PM weekly college workshop. Direct tutor lectures, safe isolation practice, conduit/trunking fabrication, circuit board wiring, and dead testing hands-on execution.</t>
        </is>
      </c>
      <c r="D19" s="9" t="n"/>
      <c r="E19" s="9" t="n"/>
      <c r="F19" s="9" t="n"/>
      <c r="G19" s="9" t="n"/>
      <c r="H19" s="9" t="n"/>
      <c r="I19" s="9" t="inlineStr">
        <is>
          <t>Prepares for Practical Tasks 211 &amp; 204, and practical verification.</t>
        </is>
      </c>
      <c r="J19" s="9" t="n"/>
    </row>
    <row r="20">
      <c r="A20" s="18" t="inlineStr">
        <is>
          <t>2. Directed Online Study</t>
        </is>
      </c>
      <c r="B20" s="19" t="inlineStr">
        <is>
          <t>9.0 Hours</t>
        </is>
      </c>
      <c r="C20" s="9" t="inlineStr">
        <is>
          <t>Tutored distance learning, e-learning theory modules, formula transposition drills, wiring regs lookup tasks, mock MCQ exams, and portfolio building.</t>
        </is>
      </c>
      <c r="D20" s="9" t="n"/>
      <c r="E20" s="9" t="n"/>
      <c r="F20" s="9" t="n"/>
      <c r="G20" s="9" t="n"/>
      <c r="H20" s="9" t="n"/>
      <c r="I20" s="9" t="inlineStr">
        <is>
          <t>Prepares for e-volve Online Exams (601, 210, 602, 203).</t>
        </is>
      </c>
      <c r="J20" s="9" t="n"/>
    </row>
    <row r="21">
      <c r="A21" s="18" t="inlineStr">
        <is>
          <t>TOTAL WEEKLY PACING</t>
        </is>
      </c>
      <c r="B21" s="19" t="inlineStr">
        <is>
          <t>12.0 Hours</t>
        </is>
      </c>
      <c r="C21" s="9" t="inlineStr">
        <is>
          <t>Combined weekly GLH delivery ensuring all 454 qualification hours are fulfilled across 38 academic weeks.</t>
        </is>
      </c>
      <c r="D21" s="9" t="n"/>
      <c r="E21" s="9" t="n"/>
      <c r="F21" s="9" t="n"/>
      <c r="G21" s="9" t="n"/>
      <c r="H21" s="9" t="n"/>
      <c r="I21" s="9" t="inlineStr">
        <is>
          <t>Achieves full Level 2 Diploma qualification in 1 Academic Year.</t>
        </is>
      </c>
      <c r="J21" s="9" t="n"/>
    </row>
  </sheetData>
  <mergeCells count="11">
    <mergeCell ref="I21:J21"/>
    <mergeCell ref="C19:H19"/>
    <mergeCell ref="A8:J8"/>
    <mergeCell ref="A15:B15"/>
    <mergeCell ref="I20:J20"/>
    <mergeCell ref="C21:H21"/>
    <mergeCell ref="A17:J17"/>
    <mergeCell ref="I19:J19"/>
    <mergeCell ref="C18:H18"/>
    <mergeCell ref="C20:H20"/>
    <mergeCell ref="I18:J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6"/>
  <sheetViews>
    <sheetView showGridLines="1" workbookViewId="0">
      <pane ySplit="6" topLeftCell="A7" activePane="bottomLeft" state="frozen"/>
      <selection pane="bottomLeft" activeCell="A1" sqref="A1"/>
    </sheetView>
  </sheetViews>
  <sheetFormatPr baseColWidth="8" defaultRowHeight="15"/>
  <cols>
    <col width="111" customWidth="1" min="1" max="1"/>
    <col width="15" customWidth="1" min="2" max="2"/>
    <col width="12" customWidth="1" min="3" max="3"/>
    <col width="38" customWidth="1" min="4" max="4"/>
    <col width="45" customWidth="1" min="5" max="5"/>
    <col width="45" customWidth="1" min="6" max="6"/>
    <col width="16" customWidth="1" min="7" max="7"/>
    <col width="15" customWidth="1" min="8" max="8"/>
    <col width="19" customWidth="1" min="9" max="9"/>
    <col width="17" customWidth="1" min="10" max="10"/>
    <col width="32" customWidth="1" min="11" max="11"/>
    <col width="14" customWidth="1" min="12" max="12"/>
    <col width="18" customWidth="1" min="13" max="13"/>
    <col width="20" customWidth="1" min="14" max="14"/>
  </cols>
  <sheetData>
    <row r="1">
      <c r="A1" s="1" t="inlineStr">
        <is>
          <t>City &amp; Guilds 2365-02 Level 2 Diploma — 38-Week Master Tracker</t>
        </is>
      </c>
    </row>
    <row r="2">
      <c r="A2" s="2" t="inlineStr">
        <is>
          <t>Option B Blended Delivery Schedule: 3 Hours Evening In-Person Class (6–9 PM) + 9 Hours Directed Online Study</t>
        </is>
      </c>
    </row>
    <row r="3"/>
    <row r="4"/>
    <row r="5"/>
    <row r="6">
      <c r="A6" s="7" t="inlineStr">
        <is>
          <t>Week #</t>
        </is>
      </c>
      <c r="B6" s="7" t="inlineStr">
        <is>
          <t>Term / Phase</t>
        </is>
      </c>
      <c r="C6" s="7" t="inlineStr">
        <is>
          <t>Unit Code</t>
        </is>
      </c>
      <c r="D6" s="7" t="inlineStr">
        <is>
          <t>Weekly Topic &amp; Curriculum Focus</t>
        </is>
      </c>
      <c r="E6" s="7" t="inlineStr">
        <is>
          <t>In-Person Evening Session (3 Hrs: 6:00–9:00 PM)</t>
        </is>
      </c>
      <c r="F6" s="7" t="inlineStr">
        <is>
          <t>Directed Online Study Focus (9 Hrs / Week)</t>
        </is>
      </c>
      <c r="G6" s="7" t="inlineStr">
        <is>
          <t>In-Person GLH</t>
        </is>
      </c>
      <c r="H6" s="7" t="inlineStr">
        <is>
          <t>Directed GLH</t>
        </is>
      </c>
      <c r="I6" s="7" t="inlineStr">
        <is>
          <t>Weekly Total GLH</t>
        </is>
      </c>
      <c r="J6" s="7" t="inlineStr">
        <is>
          <t>Cumulative GLH</t>
        </is>
      </c>
      <c r="K6" s="7" t="inlineStr">
        <is>
          <t>Assessment / Milestone Flag</t>
        </is>
      </c>
      <c r="L6" s="7" t="inlineStr">
        <is>
          <t>Status</t>
        </is>
      </c>
      <c r="M6" s="7" t="inlineStr">
        <is>
          <t>Completion Date</t>
        </is>
      </c>
      <c r="N6" s="7" t="inlineStr">
        <is>
          <t>Notes &amp; Reminders</t>
        </is>
      </c>
    </row>
    <row r="7"/>
    <row r="8">
      <c r="A8" s="8" t="n">
        <v>1</v>
      </c>
      <c r="B8" s="8" t="inlineStr">
        <is>
          <t>Term 1</t>
        </is>
      </c>
      <c r="C8" s="8" t="inlineStr">
        <is>
          <t>Unit 201</t>
        </is>
      </c>
      <c r="D8" s="9" t="inlineStr">
        <is>
          <t>Health &amp; Safety Legislation (HASAWA 1974, EAWR 1989, COSHH)</t>
        </is>
      </c>
      <c r="E8" s="9" t="inlineStr">
        <is>
          <t>Statutory legislation breakdown, employer/employee duties &amp; PPE identification</t>
        </is>
      </c>
      <c r="F8" s="9" t="inlineStr">
        <is>
          <t>Reading EAWR regulations, COSHH safety data sheets &amp; hazard ID exercises</t>
        </is>
      </c>
      <c r="G8" s="10" t="n">
        <v>3</v>
      </c>
      <c r="H8" s="10" t="n">
        <v>9</v>
      </c>
      <c r="I8" s="20">
        <f>G8+H8</f>
        <v/>
      </c>
      <c r="J8" s="21">
        <f>I8</f>
        <v/>
      </c>
      <c r="K8" s="22" t="inlineStr">
        <is>
          <t>MILESTONE: Safety Foundations</t>
        </is>
      </c>
      <c r="L8" s="8" t="inlineStr">
        <is>
          <t>Completed</t>
        </is>
      </c>
      <c r="M8" s="8" t="inlineStr"/>
      <c r="N8" s="9" t="inlineStr"/>
    </row>
    <row r="9">
      <c r="A9" s="23" t="n">
        <v>2</v>
      </c>
      <c r="B9" s="23" t="inlineStr">
        <is>
          <t>Term 1</t>
        </is>
      </c>
      <c r="C9" s="23" t="inlineStr">
        <is>
          <t>Unit 201</t>
        </is>
      </c>
      <c r="D9" s="24" t="inlineStr">
        <is>
          <t>Risk Assessment, Working at Height &amp; Asbestos Awareness</t>
        </is>
      </c>
      <c r="E9" s="24" t="inlineStr">
        <is>
          <t>Risk assessment practical execution, ladder/scaffold inspection &amp; site hazard control</t>
        </is>
      </c>
      <c r="F9" s="24" t="inlineStr">
        <is>
          <t>Asbestos awareness e-learning module, risk assessment method statement study</t>
        </is>
      </c>
      <c r="G9" s="25" t="n">
        <v>3</v>
      </c>
      <c r="H9" s="25" t="n">
        <v>9</v>
      </c>
      <c r="I9" s="20">
        <f>G9+H9</f>
        <v/>
      </c>
      <c r="J9" s="21">
        <f>J8+I9</f>
        <v/>
      </c>
      <c r="K9" s="24" t="inlineStr">
        <is>
          <t>Task 211 Prep</t>
        </is>
      </c>
      <c r="L9" s="23" t="inlineStr">
        <is>
          <t>Completed</t>
        </is>
      </c>
      <c r="M9" s="23" t="inlineStr"/>
      <c r="N9" s="24" t="inlineStr"/>
    </row>
    <row r="10">
      <c r="A10" s="8" t="n">
        <v>3</v>
      </c>
      <c r="B10" s="8" t="inlineStr">
        <is>
          <t>Term 1</t>
        </is>
      </c>
      <c r="C10" s="8" t="inlineStr">
        <is>
          <t>Unit 201</t>
        </is>
      </c>
      <c r="D10" s="9" t="inlineStr">
        <is>
          <t>Mandatory Safe Isolation Procedures (GS38 Compliance)</t>
        </is>
      </c>
      <c r="E10" s="9" t="inlineStr">
        <is>
          <t>Hands-on step-by-step safe isolation workshop using GS38 voltage indicators &amp; locks</t>
        </is>
      </c>
      <c r="F10" s="9" t="inlineStr">
        <is>
          <t>Safe isolation flowchart revision, GS38 compliance rules &amp; mock safety exam</t>
        </is>
      </c>
      <c r="G10" s="10" t="n">
        <v>3</v>
      </c>
      <c r="H10" s="10" t="n">
        <v>9</v>
      </c>
      <c r="I10" s="20">
        <f>G10+H10</f>
        <v/>
      </c>
      <c r="J10" s="21">
        <f>J9+I10</f>
        <v/>
      </c>
      <c r="K10" s="22" t="inlineStr">
        <is>
          <t>MILESTONE: Task 211 &amp; Exam 601</t>
        </is>
      </c>
      <c r="L10" s="8" t="inlineStr">
        <is>
          <t>Completed</t>
        </is>
      </c>
      <c r="M10" s="8" t="inlineStr"/>
      <c r="N10" s="9" t="inlineStr"/>
    </row>
    <row r="11">
      <c r="A11" s="23" t="n">
        <v>4</v>
      </c>
      <c r="B11" s="23" t="inlineStr">
        <is>
          <t>Term 1</t>
        </is>
      </c>
      <c r="C11" s="23" t="inlineStr">
        <is>
          <t>Unit 210</t>
        </is>
      </c>
      <c r="D11" s="24" t="inlineStr">
        <is>
          <t>Building Services Roles &amp; Site Organization</t>
        </is>
      </c>
      <c r="E11" s="24" t="inlineStr">
        <is>
          <t>Construction team roles (architects, engineers, clerks) &amp; site communication protocols</t>
        </is>
      </c>
      <c r="F11" s="24" t="inlineStr">
        <is>
          <t>Construction team hierarchy case study &amp; professional communication guidelines</t>
        </is>
      </c>
      <c r="G11" s="25" t="n">
        <v>3</v>
      </c>
      <c r="H11" s="25" t="n">
        <v>9</v>
      </c>
      <c r="I11" s="20">
        <f>G11+H11</f>
        <v/>
      </c>
      <c r="J11" s="21">
        <f>J10+I11</f>
        <v/>
      </c>
      <c r="K11" s="24" t="inlineStr">
        <is>
          <t>Site Roles Overview</t>
        </is>
      </c>
      <c r="L11" s="23" t="inlineStr">
        <is>
          <t>Not Started</t>
        </is>
      </c>
      <c r="M11" s="23" t="inlineStr"/>
      <c r="N11" s="24" t="inlineStr"/>
    </row>
    <row r="12">
      <c r="A12" s="8" t="n">
        <v>5</v>
      </c>
      <c r="B12" s="8" t="inlineStr">
        <is>
          <t>Term 1</t>
        </is>
      </c>
      <c r="C12" s="8" t="inlineStr">
        <is>
          <t>Unit 210</t>
        </is>
      </c>
      <c r="D12" s="9" t="inlineStr">
        <is>
          <t>Technical Drawings, Specifications &amp; BS 3939 Symbols</t>
        </is>
      </c>
      <c r="E12" s="9" t="inlineStr">
        <is>
          <t>Reading architectural floor plans, cable routing diagrams &amp; electrical schematic symbols</t>
        </is>
      </c>
      <c r="F12" s="9" t="inlineStr">
        <is>
          <t>BS 3939 symbol flashcards practice, specification document interpretation tasks</t>
        </is>
      </c>
      <c r="G12" s="10" t="n">
        <v>3</v>
      </c>
      <c r="H12" s="10" t="n">
        <v>9</v>
      </c>
      <c r="I12" s="20">
        <f>G12+H12</f>
        <v/>
      </c>
      <c r="J12" s="21">
        <f>J11+I12</f>
        <v/>
      </c>
      <c r="K12" s="9" t="inlineStr">
        <is>
          <t>Drawing Literacy</t>
        </is>
      </c>
      <c r="L12" s="8" t="inlineStr">
        <is>
          <t>Not Started</t>
        </is>
      </c>
      <c r="M12" s="8" t="inlineStr"/>
      <c r="N12" s="9" t="inlineStr"/>
    </row>
    <row r="13">
      <c r="A13" s="23" t="n">
        <v>6</v>
      </c>
      <c r="B13" s="23" t="inlineStr">
        <is>
          <t>Term 1</t>
        </is>
      </c>
      <c r="C13" s="23" t="inlineStr">
        <is>
          <t>Unit 210</t>
        </is>
      </c>
      <c r="D13" s="24" t="inlineStr">
        <is>
          <t>Professional Communication &amp; Job Cards/Timesheets</t>
        </is>
      </c>
      <c r="E13" s="24" t="inlineStr">
        <is>
          <t>Client interaction roleplay, job card completion &amp; limits of personal authority</t>
        </is>
      </c>
      <c r="F13" s="24" t="inlineStr">
        <is>
          <t>Written communication assignment completion &amp; portfolio document submission</t>
        </is>
      </c>
      <c r="G13" s="25" t="n">
        <v>3</v>
      </c>
      <c r="H13" s="25" t="n">
        <v>9</v>
      </c>
      <c r="I13" s="20">
        <f>G13+H13</f>
        <v/>
      </c>
      <c r="J13" s="21">
        <f>J12+I13</f>
        <v/>
      </c>
      <c r="K13" s="22" t="inlineStr">
        <is>
          <t>MILESTONE: Unit 210 Assessment</t>
        </is>
      </c>
      <c r="L13" s="23" t="inlineStr">
        <is>
          <t>Not Started</t>
        </is>
      </c>
      <c r="M13" s="23" t="inlineStr"/>
      <c r="N13" s="24" t="inlineStr"/>
    </row>
    <row r="14">
      <c r="A14" s="8" t="n">
        <v>7</v>
      </c>
      <c r="B14" s="8" t="inlineStr">
        <is>
          <t>Term 1</t>
        </is>
      </c>
      <c r="C14" s="8" t="inlineStr">
        <is>
          <t>Unit 202</t>
        </is>
      </c>
      <c r="D14" s="9" t="inlineStr">
        <is>
          <t>Maths Fundamentals &amp; Formula Transposition</t>
        </is>
      </c>
      <c r="E14" s="9" t="inlineStr">
        <is>
          <t>Transposing electrical equations (V=IR, P=VI, R=ρl/A) &amp; basic trigonometry</t>
        </is>
      </c>
      <c r="F14" s="9" t="inlineStr">
        <is>
          <t>Formula transposition problem sets (20 questions) &amp; basic electrical maths drill</t>
        </is>
      </c>
      <c r="G14" s="10" t="n">
        <v>3</v>
      </c>
      <c r="H14" s="10" t="n">
        <v>9</v>
      </c>
      <c r="I14" s="20">
        <f>G14+H14</f>
        <v/>
      </c>
      <c r="J14" s="21">
        <f>J13+I14</f>
        <v/>
      </c>
      <c r="K14" s="9" t="inlineStr">
        <is>
          <t>Maths Foundations</t>
        </is>
      </c>
      <c r="L14" s="8" t="inlineStr">
        <is>
          <t>Not Started</t>
        </is>
      </c>
      <c r="M14" s="8" t="inlineStr"/>
      <c r="N14" s="9" t="inlineStr"/>
    </row>
    <row r="15">
      <c r="A15" s="23" t="n">
        <v>8</v>
      </c>
      <c r="B15" s="23" t="inlineStr">
        <is>
          <t>Term 1</t>
        </is>
      </c>
      <c r="C15" s="23" t="inlineStr">
        <is>
          <t>Unit 202</t>
        </is>
      </c>
      <c r="D15" s="24" t="inlineStr">
        <is>
          <t>SI Units, Resistance &amp; Conductor Resistivity</t>
        </is>
      </c>
      <c r="E15" s="24" t="inlineStr">
        <is>
          <t>Conductor resistance measurement workshop, temp coefficient &amp; resistivity formula</t>
        </is>
      </c>
      <c r="F15" s="24" t="inlineStr">
        <is>
          <t>Resistivity calculation workbook &amp; conductor sizing problem sets</t>
        </is>
      </c>
      <c r="G15" s="25" t="n">
        <v>3</v>
      </c>
      <c r="H15" s="25" t="n">
        <v>9</v>
      </c>
      <c r="I15" s="20">
        <f>G15+H15</f>
        <v/>
      </c>
      <c r="J15" s="21">
        <f>J14+I15</f>
        <v/>
      </c>
      <c r="K15" s="24" t="inlineStr">
        <is>
          <t>Resistivity Calculations</t>
        </is>
      </c>
      <c r="L15" s="23" t="inlineStr">
        <is>
          <t>Not Started</t>
        </is>
      </c>
      <c r="M15" s="23" t="inlineStr"/>
      <c r="N15" s="24" t="inlineStr"/>
    </row>
    <row r="16">
      <c r="A16" s="8" t="n">
        <v>9</v>
      </c>
      <c r="B16" s="8" t="inlineStr">
        <is>
          <t>Term 1</t>
        </is>
      </c>
      <c r="C16" s="8" t="inlineStr">
        <is>
          <t>Unit 202</t>
        </is>
      </c>
      <c r="D16" s="9" t="inlineStr">
        <is>
          <t>DC Series &amp; Parallel Circuits (Ohm's Law)</t>
        </is>
      </c>
      <c r="E16" s="9" t="inlineStr">
        <is>
          <t>Wiring series &amp; parallel test boards, measuring V, I, R &amp; verifying Ohm's Law</t>
        </is>
      </c>
      <c r="F16" s="9" t="inlineStr">
        <is>
          <t>Complex DC circuit analysis worksheets &amp; Kirchhoff's law introductory problems</t>
        </is>
      </c>
      <c r="G16" s="10" t="n">
        <v>3</v>
      </c>
      <c r="H16" s="10" t="n">
        <v>9</v>
      </c>
      <c r="I16" s="20">
        <f>G16+H16</f>
        <v/>
      </c>
      <c r="J16" s="21">
        <f>J15+I16</f>
        <v/>
      </c>
      <c r="K16" s="9" t="inlineStr">
        <is>
          <t>DC Circuit Verification</t>
        </is>
      </c>
      <c r="L16" s="8" t="inlineStr">
        <is>
          <t>Not Started</t>
        </is>
      </c>
      <c r="M16" s="8" t="inlineStr"/>
      <c r="N16" s="9" t="inlineStr"/>
    </row>
    <row r="17">
      <c r="A17" s="23" t="n">
        <v>10</v>
      </c>
      <c r="B17" s="23" t="inlineStr">
        <is>
          <t>Term 1</t>
        </is>
      </c>
      <c r="C17" s="23" t="inlineStr">
        <is>
          <t>Unit 202</t>
        </is>
      </c>
      <c r="D17" s="24" t="inlineStr">
        <is>
          <t>Electrical Power, Energy &amp; Efficiency</t>
        </is>
      </c>
      <c r="E17" s="24" t="inlineStr">
        <is>
          <t>Power calculations (P=VI, P=I²R, P=V²/R) &amp; calculating machine efficiency (η)</t>
        </is>
      </c>
      <c r="F17" s="24" t="inlineStr">
        <is>
          <t>Power &amp; energy consumption problem sets &amp; electricity bill calculation tasks</t>
        </is>
      </c>
      <c r="G17" s="25" t="n">
        <v>3</v>
      </c>
      <c r="H17" s="25" t="n">
        <v>9</v>
      </c>
      <c r="I17" s="20">
        <f>G17+H17</f>
        <v/>
      </c>
      <c r="J17" s="21">
        <f>J16+I17</f>
        <v/>
      </c>
      <c r="K17" s="24" t="inlineStr">
        <is>
          <t>Power &amp; Energy Drills</t>
        </is>
      </c>
      <c r="L17" s="23" t="inlineStr">
        <is>
          <t>Not Started</t>
        </is>
      </c>
      <c r="M17" s="23" t="inlineStr"/>
      <c r="N17" s="24" t="inlineStr"/>
    </row>
    <row r="18">
      <c r="A18" s="8" t="n">
        <v>11</v>
      </c>
      <c r="B18" s="8" t="inlineStr">
        <is>
          <t>Term 1</t>
        </is>
      </c>
      <c r="C18" s="8" t="inlineStr">
        <is>
          <t>Unit 202</t>
        </is>
      </c>
      <c r="D18" s="9" t="inlineStr">
        <is>
          <t>Mechanical Physics (Force, Work, Power, Levers)</t>
        </is>
      </c>
      <c r="E18" s="9" t="inlineStr">
        <is>
          <t>Mechanical advantage calculations, torque, pulley systems &amp; cable pulling forces</t>
        </is>
      </c>
      <c r="F18" s="9" t="inlineStr">
        <is>
          <t>Mechanical physics practice problems, lever class study &amp; winch force video tutorials</t>
        </is>
      </c>
      <c r="G18" s="10" t="n">
        <v>3</v>
      </c>
      <c r="H18" s="10" t="n">
        <v>9</v>
      </c>
      <c r="I18" s="20">
        <f>G18+H18</f>
        <v/>
      </c>
      <c r="J18" s="21">
        <f>J17+I18</f>
        <v/>
      </c>
      <c r="K18" s="9" t="inlineStr">
        <is>
          <t>Mechanical Physics</t>
        </is>
      </c>
      <c r="L18" s="8" t="inlineStr">
        <is>
          <t>Not Started</t>
        </is>
      </c>
      <c r="M18" s="8" t="inlineStr"/>
      <c r="N18" s="9" t="inlineStr"/>
    </row>
    <row r="19">
      <c r="A19" s="23" t="n">
        <v>12</v>
      </c>
      <c r="B19" s="23" t="inlineStr">
        <is>
          <t>Term 1</t>
        </is>
      </c>
      <c r="C19" s="23" t="inlineStr">
        <is>
          <t>Unit 202</t>
        </is>
      </c>
      <c r="D19" s="24" t="inlineStr">
        <is>
          <t>Magnetism, Electromagnetism &amp; 50 Hz AC Generation</t>
        </is>
      </c>
      <c r="E19" s="24" t="inlineStr">
        <is>
          <t>Magnetic flux demonstration, electromagnetic induction, transformers &amp; AC sine wave</t>
        </is>
      </c>
      <c r="F19" s="24" t="inlineStr">
        <is>
          <t>AC wave characteristics (Peak, RMS, Frequency) &amp; transformer ratio problem sets</t>
        </is>
      </c>
      <c r="G19" s="25" t="n">
        <v>3</v>
      </c>
      <c r="H19" s="25" t="n">
        <v>9</v>
      </c>
      <c r="I19" s="20">
        <f>G19+H19</f>
        <v/>
      </c>
      <c r="J19" s="21">
        <f>J18+I19</f>
        <v/>
      </c>
      <c r="K19" s="24" t="inlineStr">
        <is>
          <t>AC &amp; Magnetism</t>
        </is>
      </c>
      <c r="L19" s="23" t="inlineStr">
        <is>
          <t>Not Started</t>
        </is>
      </c>
      <c r="M19" s="23" t="inlineStr"/>
      <c r="N19" s="24" t="inlineStr"/>
    </row>
    <row r="20">
      <c r="A20" s="8" t="n">
        <v>13</v>
      </c>
      <c r="B20" s="8" t="inlineStr">
        <is>
          <t>Term 1</t>
        </is>
      </c>
      <c r="C20" s="8" t="inlineStr">
        <is>
          <t>Unit 202</t>
        </is>
      </c>
      <c r="D20" s="9" t="inlineStr">
        <is>
          <t>Electronic Components &amp; Control Circuits</t>
        </is>
      </c>
      <c r="E20" s="9" t="inlineStr">
        <is>
          <t>Testing diodes, capacitors, resistors, rectifiers &amp; transistors on breadboards</t>
        </is>
      </c>
      <c r="F20" s="9" t="inlineStr">
        <is>
          <t>Electronics theory e-learning module &amp; electronic symbol identification quiz</t>
        </is>
      </c>
      <c r="G20" s="10" t="n">
        <v>3</v>
      </c>
      <c r="H20" s="10" t="n">
        <v>9</v>
      </c>
      <c r="I20" s="20">
        <f>G20+H20</f>
        <v/>
      </c>
      <c r="J20" s="21">
        <f>J19+I20</f>
        <v/>
      </c>
      <c r="K20" s="9" t="inlineStr">
        <is>
          <t>Electronics Overview</t>
        </is>
      </c>
      <c r="L20" s="8" t="inlineStr">
        <is>
          <t>Not Started</t>
        </is>
      </c>
      <c r="M20" s="8" t="inlineStr"/>
      <c r="N20" s="9" t="inlineStr"/>
    </row>
    <row r="21">
      <c r="A21" s="23" t="n">
        <v>14</v>
      </c>
      <c r="B21" s="23" t="inlineStr">
        <is>
          <t>Term 1</t>
        </is>
      </c>
      <c r="C21" s="23" t="inlineStr">
        <is>
          <t>Unit 202</t>
        </is>
      </c>
      <c r="D21" s="24" t="inlineStr">
        <is>
          <t>Electrical Science Review &amp; Online Examination</t>
        </is>
      </c>
      <c r="E21" s="24" t="inlineStr">
        <is>
          <t>Comprehensive science formula review session &amp; mock exam paper walk-through</t>
        </is>
      </c>
      <c r="F21" s="24" t="inlineStr">
        <is>
          <t>Final Unit 202 practice test online &amp; formula flashcard revision</t>
        </is>
      </c>
      <c r="G21" s="25" t="n">
        <v>3</v>
      </c>
      <c r="H21" s="25" t="n">
        <v>9</v>
      </c>
      <c r="I21" s="20">
        <f>G21+H21</f>
        <v/>
      </c>
      <c r="J21" s="21">
        <f>J20+I21</f>
        <v/>
      </c>
      <c r="K21" s="22" t="inlineStr">
        <is>
          <t>MILESTONE: Online Exam 602</t>
        </is>
      </c>
      <c r="L21" s="23" t="inlineStr">
        <is>
          <t>Not Started</t>
        </is>
      </c>
      <c r="M21" s="23" t="inlineStr"/>
      <c r="N21" s="24" t="inlineStr"/>
    </row>
    <row r="22">
      <c r="A22" s="8" t="n">
        <v>15</v>
      </c>
      <c r="B22" s="8" t="inlineStr">
        <is>
          <t>Term 2</t>
        </is>
      </c>
      <c r="C22" s="8" t="inlineStr">
        <is>
          <t>Unit 203</t>
        </is>
      </c>
      <c r="D22" s="9" t="inlineStr">
        <is>
          <t>BS 7671 Wiring Regulations &amp; On-Site Guide Overview</t>
        </is>
      </c>
      <c r="E22" s="9" t="inlineStr">
        <is>
          <t>Navigating the IET On-Site Guide &amp; understanding BS 7671 layout and statutory status</t>
        </is>
      </c>
      <c r="F22" s="9" t="inlineStr">
        <is>
          <t>Wiring regulations index search exercises &amp; statutory vs non-statutory study</t>
        </is>
      </c>
      <c r="G22" s="10" t="n">
        <v>3</v>
      </c>
      <c r="H22" s="10" t="n">
        <v>9</v>
      </c>
      <c r="I22" s="20">
        <f>G22+H22</f>
        <v/>
      </c>
      <c r="J22" s="21">
        <f>J21+I22</f>
        <v/>
      </c>
      <c r="K22" s="9" t="inlineStr">
        <is>
          <t>Wiring Regs Intro</t>
        </is>
      </c>
      <c r="L22" s="8" t="inlineStr">
        <is>
          <t>Not Started</t>
        </is>
      </c>
      <c r="M22" s="8" t="inlineStr"/>
      <c r="N22" s="9" t="inlineStr"/>
    </row>
    <row r="23">
      <c r="A23" s="23" t="n">
        <v>16</v>
      </c>
      <c r="B23" s="23" t="inlineStr">
        <is>
          <t>Term 2</t>
        </is>
      </c>
      <c r="C23" s="23" t="inlineStr">
        <is>
          <t>Unit 203</t>
        </is>
      </c>
      <c r="D23" s="24" t="inlineStr">
        <is>
          <t>Cable Types, Enclosures &amp; Environmental Selection</t>
        </is>
      </c>
      <c r="E23" s="24" t="inlineStr">
        <is>
          <t>Hands-on inspection of Twin &amp; Earth, SWA, FP200, Singles, PVC/Steel containment</t>
        </is>
      </c>
      <c r="F23" s="24" t="inlineStr">
        <is>
          <t>Cable selection criteria study, thermal/mechanical protection factor analysis</t>
        </is>
      </c>
      <c r="G23" s="25" t="n">
        <v>3</v>
      </c>
      <c r="H23" s="25" t="n">
        <v>9</v>
      </c>
      <c r="I23" s="20">
        <f>G23+H23</f>
        <v/>
      </c>
      <c r="J23" s="21">
        <f>J22+I23</f>
        <v/>
      </c>
      <c r="K23" s="24" t="inlineStr">
        <is>
          <t>Cable Types &amp; Containment</t>
        </is>
      </c>
      <c r="L23" s="23" t="inlineStr">
        <is>
          <t>Not Started</t>
        </is>
      </c>
      <c r="M23" s="23" t="inlineStr"/>
      <c r="N23" s="24" t="inlineStr"/>
    </row>
    <row r="24">
      <c r="A24" s="8" t="n">
        <v>17</v>
      </c>
      <c r="B24" s="8" t="inlineStr">
        <is>
          <t>Term 2</t>
        </is>
      </c>
      <c r="C24" s="8" t="inlineStr">
        <is>
          <t>Unit 203</t>
        </is>
      </c>
      <c r="D24" s="9" t="inlineStr">
        <is>
          <t>Protective Devices (MCBs, Fuses, RCDs, RCBOs)</t>
        </is>
      </c>
      <c r="E24" s="9" t="inlineStr">
        <is>
          <t>MCB Type B/C/D operation, BS 88 fuses, RCD operating mechanisms &amp; trip testing</t>
        </is>
      </c>
      <c r="F24" s="9" t="inlineStr">
        <is>
          <t>Time-current characteristic curve analysis &amp; protective device selection drills</t>
        </is>
      </c>
      <c r="G24" s="10" t="n">
        <v>3</v>
      </c>
      <c r="H24" s="10" t="n">
        <v>9</v>
      </c>
      <c r="I24" s="20">
        <f>G24+H24</f>
        <v/>
      </c>
      <c r="J24" s="21">
        <f>J23+I24</f>
        <v/>
      </c>
      <c r="K24" s="9" t="inlineStr">
        <is>
          <t>Protective Device Selection</t>
        </is>
      </c>
      <c r="L24" s="8" t="inlineStr">
        <is>
          <t>Not Started</t>
        </is>
      </c>
      <c r="M24" s="8" t="inlineStr"/>
      <c r="N24" s="9" t="inlineStr"/>
    </row>
    <row r="25">
      <c r="A25" s="23" t="n">
        <v>18</v>
      </c>
      <c r="B25" s="23" t="inlineStr">
        <is>
          <t>Term 2</t>
        </is>
      </c>
      <c r="C25" s="23" t="inlineStr">
        <is>
          <t>Unit 203</t>
        </is>
      </c>
      <c r="D25" s="24" t="inlineStr">
        <is>
          <t>Cable Sizing Part 1: Design Current (Ib) &amp; Rating (In)</t>
        </is>
      </c>
      <c r="E25" s="24" t="inlineStr">
        <is>
          <t>Calculating design current (Ib) for single-phase loads &amp; selecting protective rating (In)</t>
        </is>
      </c>
      <c r="F25" s="24" t="inlineStr">
        <is>
          <t>Load current calculation exercises &amp; OSG table selection practice</t>
        </is>
      </c>
      <c r="G25" s="25" t="n">
        <v>3</v>
      </c>
      <c r="H25" s="25" t="n">
        <v>9</v>
      </c>
      <c r="I25" s="20">
        <f>G25+H25</f>
        <v/>
      </c>
      <c r="J25" s="21">
        <f>J24+I25</f>
        <v/>
      </c>
      <c r="K25" s="24" t="inlineStr">
        <is>
          <t>Cable Sizing Step 1-2</t>
        </is>
      </c>
      <c r="L25" s="23" t="inlineStr">
        <is>
          <t>Not Started</t>
        </is>
      </c>
      <c r="M25" s="23" t="inlineStr"/>
      <c r="N25" s="24" t="inlineStr"/>
    </row>
    <row r="26">
      <c r="A26" s="8" t="n">
        <v>19</v>
      </c>
      <c r="B26" s="8" t="inlineStr">
        <is>
          <t>Term 2</t>
        </is>
      </c>
      <c r="C26" s="8" t="inlineStr">
        <is>
          <t>Unit 203</t>
        </is>
      </c>
      <c r="D26" s="9" t="inlineStr">
        <is>
          <t>Cable Sizing Part 2: Correction Factors (Ci, Cg, Ca)</t>
        </is>
      </c>
      <c r="E26" s="9" t="inlineStr">
        <is>
          <t>Applying thermal insulation (Ci), grouping (Cg), and ambient temperature (Ca) factors</t>
        </is>
      </c>
      <c r="F26" s="9" t="inlineStr">
        <is>
          <t>Multi-factor cable rating calculation worksheets &amp; grouping correction tasks</t>
        </is>
      </c>
      <c r="G26" s="10" t="n">
        <v>3</v>
      </c>
      <c r="H26" s="10" t="n">
        <v>9</v>
      </c>
      <c r="I26" s="20">
        <f>G26+H26</f>
        <v/>
      </c>
      <c r="J26" s="21">
        <f>J25+I26</f>
        <v/>
      </c>
      <c r="K26" s="9" t="inlineStr">
        <is>
          <t>Cable Sizing Step 3</t>
        </is>
      </c>
      <c r="L26" s="8" t="inlineStr">
        <is>
          <t>Not Started</t>
        </is>
      </c>
      <c r="M26" s="8" t="inlineStr"/>
      <c r="N26" s="9" t="inlineStr"/>
    </row>
    <row r="27">
      <c r="A27" s="23" t="n">
        <v>20</v>
      </c>
      <c r="B27" s="23" t="inlineStr">
        <is>
          <t>Term 2</t>
        </is>
      </c>
      <c r="C27" s="23" t="inlineStr">
        <is>
          <t>Unit 203</t>
        </is>
      </c>
      <c r="D27" s="24" t="inlineStr">
        <is>
          <t>Cable Sizing Part 3: Voltage Drop &amp; OSG Verification</t>
        </is>
      </c>
      <c r="E27" s="24" t="inlineStr">
        <is>
          <t>Calculating voltage drop (mV/A/m) &amp; verifying against BS 7671 percentage limits</t>
        </is>
      </c>
      <c r="F27" s="24" t="inlineStr">
        <is>
          <t>Complete 5-step cable sizing portfolio tasks &amp; OSG tabulated rating verification</t>
        </is>
      </c>
      <c r="G27" s="25" t="n">
        <v>3</v>
      </c>
      <c r="H27" s="25" t="n">
        <v>9</v>
      </c>
      <c r="I27" s="20">
        <f>G27+H27</f>
        <v/>
      </c>
      <c r="J27" s="21">
        <f>J26+I27</f>
        <v/>
      </c>
      <c r="K27" s="24" t="inlineStr">
        <is>
          <t>Cable Sizing Completion</t>
        </is>
      </c>
      <c r="L27" s="23" t="inlineStr">
        <is>
          <t>Not Started</t>
        </is>
      </c>
      <c r="M27" s="23" t="inlineStr"/>
      <c r="N27" s="24" t="inlineStr"/>
    </row>
    <row r="28">
      <c r="A28" s="8" t="n">
        <v>21</v>
      </c>
      <c r="B28" s="8" t="inlineStr">
        <is>
          <t>Term 2</t>
        </is>
      </c>
      <c r="C28" s="8" t="inlineStr">
        <is>
          <t>Unit 203</t>
        </is>
      </c>
      <c r="D28" s="9" t="inlineStr">
        <is>
          <t>UK Earthing Systems (TN-S, TN-C-S / PME, TT)</t>
        </is>
      </c>
      <c r="E28" s="9" t="inlineStr">
        <is>
          <t>Earth loop impedance concepts, MET layout &amp; earthing system identification workshop</t>
        </is>
      </c>
      <c r="F28" s="9" t="inlineStr">
        <is>
          <t>Earthing systems comparison study, schematic drawing tasks &amp; PME hazard study</t>
        </is>
      </c>
      <c r="G28" s="10" t="n">
        <v>3</v>
      </c>
      <c r="H28" s="10" t="n">
        <v>9</v>
      </c>
      <c r="I28" s="20">
        <f>G28+H28</f>
        <v/>
      </c>
      <c r="J28" s="21">
        <f>J27+I28</f>
        <v/>
      </c>
      <c r="K28" s="9" t="inlineStr">
        <is>
          <t>Earthing Systems</t>
        </is>
      </c>
      <c r="L28" s="8" t="inlineStr">
        <is>
          <t>Not Started</t>
        </is>
      </c>
      <c r="M28" s="8" t="inlineStr"/>
      <c r="N28" s="9" t="inlineStr"/>
    </row>
    <row r="29">
      <c r="A29" s="23" t="n">
        <v>22</v>
      </c>
      <c r="B29" s="23" t="inlineStr">
        <is>
          <t>Term 2</t>
        </is>
      </c>
      <c r="C29" s="23" t="inlineStr">
        <is>
          <t>Unit 203</t>
        </is>
      </c>
      <c r="D29" s="24" t="inlineStr">
        <is>
          <t>Main Protective &amp; Supplementary Bonding</t>
        </is>
      </c>
      <c r="E29" s="24" t="inlineStr">
        <is>
          <t>Main protective bonding clamp terminations to incoming water/gas metallic services</t>
        </is>
      </c>
      <c r="F29" s="24" t="inlineStr">
        <is>
          <t>Bonding conductor sizing rules under ADS regulations &amp; OSG table checks</t>
        </is>
      </c>
      <c r="G29" s="25" t="n">
        <v>3</v>
      </c>
      <c r="H29" s="25" t="n">
        <v>9</v>
      </c>
      <c r="I29" s="20">
        <f>G29+H29</f>
        <v/>
      </c>
      <c r="J29" s="21">
        <f>J28+I29</f>
        <v/>
      </c>
      <c r="K29" s="24" t="inlineStr">
        <is>
          <t>Bonding Protocols</t>
        </is>
      </c>
      <c r="L29" s="23" t="inlineStr">
        <is>
          <t>Not Started</t>
        </is>
      </c>
      <c r="M29" s="23" t="inlineStr"/>
      <c r="N29" s="24" t="inlineStr"/>
    </row>
    <row r="30">
      <c r="A30" s="8" t="n">
        <v>23</v>
      </c>
      <c r="B30" s="8" t="inlineStr">
        <is>
          <t>Term 2</t>
        </is>
      </c>
      <c r="C30" s="8" t="inlineStr">
        <is>
          <t>Unit 203</t>
        </is>
      </c>
      <c r="D30" s="9" t="inlineStr">
        <is>
          <t>Electricity Distribution Networks &amp; Micro-Renewables</t>
        </is>
      </c>
      <c r="E30" s="9" t="inlineStr">
        <is>
          <t>DNO sub-station supply, sub-mains, solar PV, heat pumps &amp; EV charger integration</t>
        </is>
      </c>
      <c r="F30" s="9" t="inlineStr">
        <is>
          <t>Micro-renewable energy technology study module &amp; distribution network research</t>
        </is>
      </c>
      <c r="G30" s="10" t="n">
        <v>3</v>
      </c>
      <c r="H30" s="10" t="n">
        <v>9</v>
      </c>
      <c r="I30" s="20">
        <f>G30+H30</f>
        <v/>
      </c>
      <c r="J30" s="21">
        <f>J29+I30</f>
        <v/>
      </c>
      <c r="K30" s="9" t="inlineStr">
        <is>
          <t>Renewables &amp; Distribution</t>
        </is>
      </c>
      <c r="L30" s="8" t="inlineStr">
        <is>
          <t>Not Started</t>
        </is>
      </c>
      <c r="M30" s="8" t="inlineStr"/>
      <c r="N30" s="9" t="inlineStr"/>
    </row>
    <row r="31">
      <c r="A31" s="23" t="n">
        <v>24</v>
      </c>
      <c r="B31" s="23" t="inlineStr">
        <is>
          <t>Term 2</t>
        </is>
      </c>
      <c r="C31" s="23" t="inlineStr">
        <is>
          <t>Unit 203</t>
        </is>
      </c>
      <c r="D31" s="24" t="inlineStr">
        <is>
          <t>Technology Unit Revision &amp; Online Examination</t>
        </is>
      </c>
      <c r="E31" s="24" t="inlineStr">
        <is>
          <t>Exam technique workshop, cable sizing scenario review &amp; mock paper walkthrough</t>
        </is>
      </c>
      <c r="F31" s="24" t="inlineStr">
        <is>
          <t>Final Unit 203 online mock exam &amp; regulations reference practice</t>
        </is>
      </c>
      <c r="G31" s="25" t="n">
        <v>3</v>
      </c>
      <c r="H31" s="25" t="n">
        <v>9</v>
      </c>
      <c r="I31" s="20">
        <f>G31+H31</f>
        <v/>
      </c>
      <c r="J31" s="21">
        <f>J30+I31</f>
        <v/>
      </c>
      <c r="K31" s="22" t="inlineStr">
        <is>
          <t>MILESTONE: Online Exam 203</t>
        </is>
      </c>
      <c r="L31" s="23" t="inlineStr">
        <is>
          <t>Not Started</t>
        </is>
      </c>
      <c r="M31" s="23" t="inlineStr"/>
      <c r="N31" s="24" t="inlineStr"/>
    </row>
    <row r="32">
      <c r="A32" s="8" t="n">
        <v>25</v>
      </c>
      <c r="B32" s="8" t="inlineStr">
        <is>
          <t>Term 3</t>
        </is>
      </c>
      <c r="C32" s="8" t="inlineStr">
        <is>
          <t>Unit 204</t>
        </is>
      </c>
      <c r="D32" s="9" t="inlineStr">
        <is>
          <t>Workshop Safety, Hand Tools &amp; Bay Preparation</t>
        </is>
      </c>
      <c r="E32" s="9" t="inlineStr">
        <is>
          <t>Workshop orientation, tool safety checks, measuring &amp; marking out practical test bays</t>
        </is>
      </c>
      <c r="F32" s="9" t="inlineStr">
        <is>
          <t>Practical tool maintenance guide, workshop risk assessment completion</t>
        </is>
      </c>
      <c r="G32" s="10" t="n">
        <v>3</v>
      </c>
      <c r="H32" s="10" t="n">
        <v>9</v>
      </c>
      <c r="I32" s="20">
        <f>G32+H32</f>
        <v/>
      </c>
      <c r="J32" s="21">
        <f>J31+I32</f>
        <v/>
      </c>
      <c r="K32" s="9" t="inlineStr">
        <is>
          <t>Workshop Orientation</t>
        </is>
      </c>
      <c r="L32" s="8" t="inlineStr">
        <is>
          <t>Not Started</t>
        </is>
      </c>
      <c r="M32" s="8" t="inlineStr"/>
      <c r="N32" s="9" t="inlineStr"/>
    </row>
    <row r="33">
      <c r="A33" s="23" t="n">
        <v>26</v>
      </c>
      <c r="B33" s="23" t="inlineStr">
        <is>
          <t>Term 3</t>
        </is>
      </c>
      <c r="C33" s="23" t="inlineStr">
        <is>
          <t>Unit 204</t>
        </is>
      </c>
      <c r="D33" s="24" t="inlineStr">
        <is>
          <t>PVC &amp; Steel Conduit Bending (90° Bends &amp; Sets)</t>
        </is>
      </c>
      <c r="E33" s="24" t="inlineStr">
        <is>
          <t>Fabricating 90° bends, double sets &amp; pass-overs in 20mm PVC and steel conduit</t>
        </is>
      </c>
      <c r="F33" s="24" t="inlineStr">
        <is>
          <t>Conduit bending calculation study, offset geometry &amp; gain factor notes</t>
        </is>
      </c>
      <c r="G33" s="25" t="n">
        <v>3</v>
      </c>
      <c r="H33" s="25" t="n">
        <v>9</v>
      </c>
      <c r="I33" s="20">
        <f>G33+H33</f>
        <v/>
      </c>
      <c r="J33" s="21">
        <f>J32+I33</f>
        <v/>
      </c>
      <c r="K33" s="24" t="inlineStr">
        <is>
          <t>Conduit Bending Fabrication</t>
        </is>
      </c>
      <c r="L33" s="23" t="inlineStr">
        <is>
          <t>Not Started</t>
        </is>
      </c>
      <c r="M33" s="23" t="inlineStr"/>
      <c r="N33" s="24" t="inlineStr"/>
    </row>
    <row r="34">
      <c r="A34" s="8" t="n">
        <v>27</v>
      </c>
      <c r="B34" s="8" t="inlineStr">
        <is>
          <t>Term 3</t>
        </is>
      </c>
      <c r="C34" s="8" t="inlineStr">
        <is>
          <t>Unit 204</t>
        </is>
      </c>
      <c r="D34" s="9" t="inlineStr">
        <is>
          <t>Steel Conduit Threading &amp; Bush Terminations</t>
        </is>
      </c>
      <c r="E34" s="9" t="inlineStr">
        <is>
          <t>Cutting, deburring &amp; threading steel conduit using stocks &amp; dies, fitting bushes</t>
        </is>
      </c>
      <c r="F34" s="9" t="inlineStr">
        <is>
          <t>Conduit capacity calculations using OSG space factor tables &amp; trunking rules</t>
        </is>
      </c>
      <c r="G34" s="10" t="n">
        <v>3</v>
      </c>
      <c r="H34" s="10" t="n">
        <v>9</v>
      </c>
      <c r="I34" s="20">
        <f>G34+H34</f>
        <v/>
      </c>
      <c r="J34" s="21">
        <f>J33+I34</f>
        <v/>
      </c>
      <c r="K34" s="9" t="inlineStr">
        <is>
          <t>Conduit Threading Workshop</t>
        </is>
      </c>
      <c r="L34" s="8" t="inlineStr">
        <is>
          <t>Not Started</t>
        </is>
      </c>
      <c r="M34" s="8" t="inlineStr"/>
      <c r="N34" s="9" t="inlineStr"/>
    </row>
    <row r="35">
      <c r="A35" s="23" t="n">
        <v>28</v>
      </c>
      <c r="B35" s="23" t="inlineStr">
        <is>
          <t>Term 3</t>
        </is>
      </c>
      <c r="C35" s="23" t="inlineStr">
        <is>
          <t>Unit 204</t>
        </is>
      </c>
      <c r="D35" s="24" t="inlineStr">
        <is>
          <t>Steel Cable Trunking Fabrication &amp; 45% Rule</t>
        </is>
      </c>
      <c r="E35" s="24" t="inlineStr">
        <is>
          <t>Cutting gusset bends, tees &amp; applying the 45% space factor rule in steel trunking</t>
        </is>
      </c>
      <c r="F35" s="24" t="inlineStr">
        <is>
          <t>Trunking capacity calculation worksheets &amp; cable factor accumulation tasks</t>
        </is>
      </c>
      <c r="G35" s="25" t="n">
        <v>3</v>
      </c>
      <c r="H35" s="25" t="n">
        <v>9</v>
      </c>
      <c r="I35" s="20">
        <f>G35+H35</f>
        <v/>
      </c>
      <c r="J35" s="21">
        <f>J34+I35</f>
        <v/>
      </c>
      <c r="K35" s="24" t="inlineStr">
        <is>
          <t>Trunking 45% Rule</t>
        </is>
      </c>
      <c r="L35" s="23" t="inlineStr">
        <is>
          <t>Not Started</t>
        </is>
      </c>
      <c r="M35" s="23" t="inlineStr"/>
      <c r="N35" s="24" t="inlineStr"/>
    </row>
    <row r="36">
      <c r="A36" s="8" t="n">
        <v>29</v>
      </c>
      <c r="B36" s="8" t="inlineStr">
        <is>
          <t>Term 3</t>
        </is>
      </c>
      <c r="C36" s="8" t="inlineStr">
        <is>
          <t>Unit 204</t>
        </is>
      </c>
      <c r="D36" s="9" t="inlineStr">
        <is>
          <t>Cable Tray Installation, Bending &amp; Bracket Fixings</t>
        </is>
      </c>
      <c r="E36" s="9" t="inlineStr">
        <is>
          <t>Cable tray cutting, flat bend fabrication, riser forming &amp; wall bracket fixing</t>
        </is>
      </c>
      <c r="F36" s="9" t="inlineStr">
        <is>
          <t>Cable tray load rating study, fixing specification &amp; corrosion protection notes</t>
        </is>
      </c>
      <c r="G36" s="10" t="n">
        <v>3</v>
      </c>
      <c r="H36" s="10" t="n">
        <v>9</v>
      </c>
      <c r="I36" s="20">
        <f>G36+H36</f>
        <v/>
      </c>
      <c r="J36" s="21">
        <f>J35+I36</f>
        <v/>
      </c>
      <c r="K36" s="9" t="inlineStr">
        <is>
          <t>Cable Tray Installation</t>
        </is>
      </c>
      <c r="L36" s="8" t="inlineStr">
        <is>
          <t>Not Started</t>
        </is>
      </c>
      <c r="M36" s="8" t="inlineStr"/>
      <c r="N36" s="9" t="inlineStr"/>
    </row>
    <row r="37">
      <c r="A37" s="23" t="n">
        <v>30</v>
      </c>
      <c r="B37" s="23" t="inlineStr">
        <is>
          <t>Term 3</t>
        </is>
      </c>
      <c r="C37" s="23" t="inlineStr">
        <is>
          <t>Unit 204</t>
        </is>
      </c>
      <c r="D37" s="24" t="inlineStr">
        <is>
          <t>Multi-Compartment Containment &amp; Cable Segregation</t>
        </is>
      </c>
      <c r="E37" s="24" t="inlineStr">
        <is>
          <t>Installing segregation dividers for Band I (data/fire) and Band II (mains) cables</t>
        </is>
      </c>
      <c r="F37" s="24" t="inlineStr">
        <is>
          <t>Cable segregation regulations (BS 7671) &amp; EMC interference prevention study</t>
        </is>
      </c>
      <c r="G37" s="25" t="n">
        <v>3</v>
      </c>
      <c r="H37" s="25" t="n">
        <v>9</v>
      </c>
      <c r="I37" s="20">
        <f>G37+H37</f>
        <v/>
      </c>
      <c r="J37" s="21">
        <f>J36+I37</f>
        <v/>
      </c>
      <c r="K37" s="24" t="inlineStr">
        <is>
          <t>Cable Segregation</t>
        </is>
      </c>
      <c r="L37" s="23" t="inlineStr">
        <is>
          <t>Not Started</t>
        </is>
      </c>
      <c r="M37" s="23" t="inlineStr"/>
      <c r="N37" s="24" t="inlineStr"/>
    </row>
    <row r="38">
      <c r="A38" s="8" t="n">
        <v>31</v>
      </c>
      <c r="B38" s="8" t="inlineStr">
        <is>
          <t>Term 3</t>
        </is>
      </c>
      <c r="C38" s="8" t="inlineStr">
        <is>
          <t>Unit 204</t>
        </is>
      </c>
      <c r="D38" s="9" t="inlineStr">
        <is>
          <t>Cable Pulling Techniques &amp; Loom Dressing</t>
        </is>
      </c>
      <c r="E38" s="9" t="inlineStr">
        <is>
          <t>Drawing single-core cables into conduit/trunking, loom forming &amp; tie dressing</t>
        </is>
      </c>
      <c r="F38" s="9" t="inlineStr">
        <is>
          <t>Cable pulling tension calculations &amp; cable damage prevention guidelines</t>
        </is>
      </c>
      <c r="G38" s="10" t="n">
        <v>3</v>
      </c>
      <c r="H38" s="10" t="n">
        <v>9</v>
      </c>
      <c r="I38" s="20">
        <f>G38+H38</f>
        <v/>
      </c>
      <c r="J38" s="21">
        <f>J37+I38</f>
        <v/>
      </c>
      <c r="K38" s="9" t="inlineStr">
        <is>
          <t>Cable Enclosure Wiring</t>
        </is>
      </c>
      <c r="L38" s="8" t="inlineStr">
        <is>
          <t>Not Started</t>
        </is>
      </c>
      <c r="M38" s="8" t="inlineStr"/>
      <c r="N38" s="9" t="inlineStr"/>
    </row>
    <row r="39">
      <c r="A39" s="23" t="n">
        <v>32</v>
      </c>
      <c r="B39" s="23" t="inlineStr">
        <is>
          <t>Term 3</t>
        </is>
      </c>
      <c r="C39" s="23" t="inlineStr">
        <is>
          <t>Unit 204</t>
        </is>
      </c>
      <c r="D39" s="24" t="inlineStr">
        <is>
          <t>Lighting Circuits: 1-Way, 2-Way &amp; Intermediate</t>
        </is>
      </c>
      <c r="E39" s="24" t="inlineStr">
        <is>
          <t>Wiring 1-way, 2-way, and intermediate switching using strappers &amp; live conductors</t>
        </is>
      </c>
      <c r="F39" s="24" t="inlineStr">
        <is>
          <t>Switching circuit schematic drawing &amp; intermediate switch terminal logic study</t>
        </is>
      </c>
      <c r="G39" s="25" t="n">
        <v>3</v>
      </c>
      <c r="H39" s="25" t="n">
        <v>9</v>
      </c>
      <c r="I39" s="20">
        <f>G39+H39</f>
        <v/>
      </c>
      <c r="J39" s="21">
        <f>J38+I39</f>
        <v/>
      </c>
      <c r="K39" s="24" t="inlineStr">
        <is>
          <t>Lighting Wiring Workshop</t>
        </is>
      </c>
      <c r="L39" s="23" t="inlineStr">
        <is>
          <t>Not Started</t>
        </is>
      </c>
      <c r="M39" s="23" t="inlineStr"/>
      <c r="N39" s="24" t="inlineStr"/>
    </row>
    <row r="40">
      <c r="A40" s="8" t="n">
        <v>33</v>
      </c>
      <c r="B40" s="8" t="inlineStr">
        <is>
          <t>Term 3</t>
        </is>
      </c>
      <c r="C40" s="8" t="inlineStr">
        <is>
          <t>Unit 204</t>
        </is>
      </c>
      <c r="D40" s="9" t="inlineStr">
        <is>
          <t>Power Circuits: Ring Final &amp; Radial Socket Wiring</t>
        </is>
      </c>
      <c r="E40" s="9" t="inlineStr">
        <is>
          <t>Wiring 32A ring final circuit &amp; 20A radial socket circuits to consumer unit</t>
        </is>
      </c>
      <c r="F40" s="9" t="inlineStr">
        <is>
          <t>Ring final circuit architecture study, spur rules &amp; socket load distribution</t>
        </is>
      </c>
      <c r="G40" s="10" t="n">
        <v>3</v>
      </c>
      <c r="H40" s="10" t="n">
        <v>9</v>
      </c>
      <c r="I40" s="20">
        <f>G40+H40</f>
        <v/>
      </c>
      <c r="J40" s="21">
        <f>J39+I40</f>
        <v/>
      </c>
      <c r="K40" s="9" t="inlineStr">
        <is>
          <t>Power Circuits Wiring</t>
        </is>
      </c>
      <c r="L40" s="8" t="inlineStr">
        <is>
          <t>Not Started</t>
        </is>
      </c>
      <c r="M40" s="8" t="inlineStr"/>
      <c r="N40" s="9" t="inlineStr"/>
    </row>
    <row r="41">
      <c r="A41" s="23" t="n">
        <v>34</v>
      </c>
      <c r="B41" s="23" t="inlineStr">
        <is>
          <t>Term 3</t>
        </is>
      </c>
      <c r="C41" s="23" t="inlineStr">
        <is>
          <t>Unit 204</t>
        </is>
      </c>
      <c r="D41" s="24" t="inlineStr">
        <is>
          <t>Specialised Cables: SWA Glanding &amp; FP200 Fixing</t>
        </is>
      </c>
      <c r="E41" s="24" t="inlineStr">
        <is>
          <t>SWA cable glanding (CW/BW glands), earthing tag connections &amp; FP200 clipping</t>
        </is>
      </c>
      <c r="F41" s="24" t="inlineStr">
        <is>
          <t>Armoured cable glanding specification study &amp; fire-resistant cable standards</t>
        </is>
      </c>
      <c r="G41" s="25" t="n">
        <v>3</v>
      </c>
      <c r="H41" s="25" t="n">
        <v>9</v>
      </c>
      <c r="I41" s="20">
        <f>G41+H41</f>
        <v/>
      </c>
      <c r="J41" s="21">
        <f>J40+I41</f>
        <v/>
      </c>
      <c r="K41" s="24" t="inlineStr">
        <is>
          <t>SWA Glanding Workshop</t>
        </is>
      </c>
      <c r="L41" s="23" t="inlineStr">
        <is>
          <t>Not Started</t>
        </is>
      </c>
      <c r="M41" s="23" t="inlineStr"/>
      <c r="N41" s="24" t="inlineStr"/>
    </row>
    <row r="42">
      <c r="A42" s="8" t="n">
        <v>35</v>
      </c>
      <c r="B42" s="8" t="inlineStr">
        <is>
          <t>Term 3</t>
        </is>
      </c>
      <c r="C42" s="8" t="inlineStr">
        <is>
          <t>Unit 204</t>
        </is>
      </c>
      <c r="D42" s="9" t="inlineStr">
        <is>
          <t>Consumer Unit Assembly &amp; MET Bonding Connections</t>
        </is>
      </c>
      <c r="E42" s="9" t="inlineStr">
        <is>
          <t>Consumer unit busbar assembly, MCB/RCD installation &amp; MET bonding terminations</t>
        </is>
      </c>
      <c r="F42" s="9" t="inlineStr">
        <is>
          <t>Consumer unit circuit schedule completion &amp; DB layout documentation</t>
        </is>
      </c>
      <c r="G42" s="10" t="n">
        <v>3</v>
      </c>
      <c r="H42" s="10" t="n">
        <v>9</v>
      </c>
      <c r="I42" s="20">
        <f>G42+H42</f>
        <v/>
      </c>
      <c r="J42" s="21">
        <f>J41+I42</f>
        <v/>
      </c>
      <c r="K42" s="9" t="inlineStr">
        <is>
          <t>Consumer Unit Assembly</t>
        </is>
      </c>
      <c r="L42" s="8" t="inlineStr">
        <is>
          <t>Not Started</t>
        </is>
      </c>
      <c r="M42" s="8" t="inlineStr"/>
      <c r="N42" s="9" t="inlineStr"/>
    </row>
    <row r="43">
      <c r="A43" s="23" t="n">
        <v>36</v>
      </c>
      <c r="B43" s="23" t="inlineStr">
        <is>
          <t>Term 3</t>
        </is>
      </c>
      <c r="C43" s="23" t="inlineStr">
        <is>
          <t>Unit 204</t>
        </is>
      </c>
      <c r="D43" s="24" t="inlineStr">
        <is>
          <t>Initial Verification Dead Testing (CPC &amp; Ring Continuity)</t>
        </is>
      </c>
      <c r="E43" s="24" t="inlineStr">
        <is>
          <t>Dead testing execution: CPC continuity (R1+R2) &amp; Ring final continuity (r1, rn, r2)</t>
        </is>
      </c>
      <c r="F43" s="24" t="inlineStr">
        <is>
          <t>Test instrument GS38 lead checks, meter calibration &amp; test sequence review</t>
        </is>
      </c>
      <c r="G43" s="25" t="n">
        <v>3</v>
      </c>
      <c r="H43" s="25" t="n">
        <v>9</v>
      </c>
      <c r="I43" s="20">
        <f>G43+H43</f>
        <v/>
      </c>
      <c r="J43" s="21">
        <f>J42+I43</f>
        <v/>
      </c>
      <c r="K43" s="24" t="inlineStr">
        <is>
          <t>Dead Testing Part 1</t>
        </is>
      </c>
      <c r="L43" s="23" t="inlineStr">
        <is>
          <t>Not Started</t>
        </is>
      </c>
      <c r="M43" s="23" t="inlineStr"/>
      <c r="N43" s="24" t="inlineStr"/>
    </row>
    <row r="44">
      <c r="A44" s="8" t="n">
        <v>37</v>
      </c>
      <c r="B44" s="8" t="inlineStr">
        <is>
          <t>Term 3</t>
        </is>
      </c>
      <c r="C44" s="8" t="inlineStr">
        <is>
          <t>Unit 204</t>
        </is>
      </c>
      <c r="D44" s="9" t="inlineStr">
        <is>
          <t>Initial Verification Dead Testing (Insulation &amp; Polarity)</t>
        </is>
      </c>
      <c r="E44" s="9" t="inlineStr">
        <is>
          <t>Dead testing execution: Insulation resistance (500V DC) &amp; polarity verification</t>
        </is>
      </c>
      <c r="F44" s="9" t="inlineStr">
        <is>
          <t>Schedule of Test Results documentation completion &amp; test result analysis</t>
        </is>
      </c>
      <c r="G44" s="10" t="n">
        <v>3</v>
      </c>
      <c r="H44" s="10" t="n">
        <v>9</v>
      </c>
      <c r="I44" s="20">
        <f>G44+H44</f>
        <v/>
      </c>
      <c r="J44" s="21">
        <f>J43+I44</f>
        <v/>
      </c>
      <c r="K44" s="9" t="inlineStr">
        <is>
          <t>Dead Testing Part 2</t>
        </is>
      </c>
      <c r="L44" s="8" t="inlineStr">
        <is>
          <t>Not Started</t>
        </is>
      </c>
      <c r="M44" s="8" t="inlineStr"/>
      <c r="N44" s="9" t="inlineStr"/>
    </row>
    <row r="45">
      <c r="A45" s="23" t="n">
        <v>38</v>
      </c>
      <c r="B45" s="23" t="inlineStr">
        <is>
          <t>Term 3</t>
        </is>
      </c>
      <c r="C45" s="23" t="inlineStr">
        <is>
          <t>Unit 204</t>
        </is>
      </c>
      <c r="D45" s="24" t="inlineStr">
        <is>
          <t>Synoptic Practical Assessment &amp; Qualification Sign-off</t>
        </is>
      </c>
      <c r="E45" s="24" t="inlineStr">
        <is>
          <t>Final practical synoptic task completion, bay inspection, testing &amp; assessment sign-off</t>
        </is>
      </c>
      <c r="F45" s="24" t="inlineStr">
        <is>
          <t>Final practical portfolio compilation, course review &amp; diploma sign-off</t>
        </is>
      </c>
      <c r="G45" s="25" t="n">
        <v>3</v>
      </c>
      <c r="H45" s="25" t="n">
        <v>9</v>
      </c>
      <c r="I45" s="20">
        <f>G45+H45</f>
        <v/>
      </c>
      <c r="J45" s="21">
        <f>J44+I45</f>
        <v/>
      </c>
      <c r="K45" s="22" t="inlineStr">
        <is>
          <t>MILESTONE: Practical Task 204 Completed</t>
        </is>
      </c>
      <c r="L45" s="23" t="inlineStr">
        <is>
          <t>Not Started</t>
        </is>
      </c>
      <c r="M45" s="23" t="inlineStr"/>
      <c r="N45" s="24" t="inlineStr"/>
    </row>
    <row r="46">
      <c r="A46" s="26" t="inlineStr">
        <is>
          <t>TOTAL</t>
        </is>
      </c>
      <c r="B46" s="26" t="n"/>
      <c r="C46" s="26" t="n"/>
      <c r="D46" s="26" t="n"/>
      <c r="E46" s="26" t="n"/>
      <c r="F46" s="26" t="n"/>
      <c r="G46" s="27">
        <f>SUM(G8:G45)</f>
        <v/>
      </c>
      <c r="H46" s="27">
        <f>SUM(H8:H45)</f>
        <v/>
      </c>
      <c r="I46" s="27">
        <f>SUM(I8:I45)</f>
        <v/>
      </c>
      <c r="J46" s="27">
        <f>J45</f>
        <v/>
      </c>
      <c r="K46" s="26" t="n"/>
      <c r="L46" s="26" t="n"/>
      <c r="M46" s="26" t="n"/>
      <c r="N46" s="26" t="n"/>
    </row>
  </sheetData>
  <mergeCells count="1">
    <mergeCell ref="A46:F46"/>
  </mergeCells>
  <dataValidations count="1">
    <dataValidation sqref="L8 L9 L10 L11 L12 L13 L14 L15 L16 L17 L18 L19 L20 L21 L22 L23 L24 L25 L26 L27 L28 L29 L30 L31 L32 L33 L34 L35 L36 L37 L38 L39 L40 L41 L42 L43 L44 L45" showDropDown="0" showInputMessage="0" showErrorMessage="0" allowBlank="1" type="list">
      <formula1>"Not Started,In Progress,Completed"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1" workbookViewId="0">
      <selection activeCell="A1" sqref="A1"/>
    </sheetView>
  </sheetViews>
  <sheetFormatPr baseColWidth="8" defaultRowHeight="15"/>
  <cols>
    <col width="84" customWidth="1" min="1" max="1"/>
    <col width="42" customWidth="1" min="2" max="2"/>
    <col width="20" customWidth="1" min="3" max="3"/>
    <col width="18" customWidth="1" min="4" max="4"/>
    <col width="24" customWidth="1" min="5" max="5"/>
    <col width="22" customWidth="1" min="6" max="6"/>
    <col width="38" customWidth="1" min="7" max="7"/>
    <col width="34" customWidth="1" min="8" max="8"/>
    <col width="21" customWidth="1" min="9" max="9"/>
  </cols>
  <sheetData>
    <row r="1">
      <c r="A1" s="1" t="inlineStr">
        <is>
          <t>Qualification Unit Audit &amp; GLH Allocation Summary</t>
        </is>
      </c>
    </row>
    <row r="2">
      <c r="A2" s="2" t="inlineStr">
        <is>
          <t>City &amp; Guilds 2365-02 Level 2 Diploma in Electrical Installations (454 Total GLH)</t>
        </is>
      </c>
    </row>
    <row r="3"/>
    <row r="4"/>
    <row r="5">
      <c r="A5" s="7" t="inlineStr">
        <is>
          <t>Unit Code</t>
        </is>
      </c>
      <c r="B5" s="7" t="inlineStr">
        <is>
          <t>Unit Title</t>
        </is>
      </c>
      <c r="C5" s="7" t="inlineStr">
        <is>
          <t>Qualification GLH</t>
        </is>
      </c>
      <c r="D5" s="7" t="inlineStr">
        <is>
          <t>In-Person Hours</t>
        </is>
      </c>
      <c r="E5" s="7" t="inlineStr">
        <is>
          <t>Directed Online Hours</t>
        </is>
      </c>
      <c r="F5" s="7" t="inlineStr">
        <is>
          <t>Total Planned Hours</t>
        </is>
      </c>
      <c r="G5" s="7" t="inlineStr">
        <is>
          <t>Assessment Method</t>
        </is>
      </c>
      <c r="H5" s="7" t="inlineStr">
        <is>
          <t>Pass Mark / Requirement</t>
        </is>
      </c>
      <c r="I5" s="7" t="inlineStr">
        <is>
          <t>Target Term</t>
        </is>
      </c>
    </row>
    <row r="6">
      <c r="A6" s="8" t="inlineStr">
        <is>
          <t>Unit 201</t>
        </is>
      </c>
      <c r="B6" s="9" t="inlineStr">
        <is>
          <t>Health and safety in building services engineering</t>
        </is>
      </c>
      <c r="C6" s="10" t="n">
        <v>26</v>
      </c>
      <c r="D6" s="10" t="n">
        <v>9</v>
      </c>
      <c r="E6" s="10" t="n">
        <v>27</v>
      </c>
      <c r="F6" s="20">
        <f>D6+E6</f>
        <v/>
      </c>
      <c r="G6" s="8" t="inlineStr">
        <is>
          <t>Practical Assignment 211 &amp; e-volve Exam 601</t>
        </is>
      </c>
      <c r="H6" s="8" t="inlineStr">
        <is>
          <t>100% Safety Pass &amp; 60% MCQ</t>
        </is>
      </c>
      <c r="I6" s="8" t="inlineStr">
        <is>
          <t>Term 1 (Wks 1–3)</t>
        </is>
      </c>
    </row>
    <row r="7">
      <c r="A7" s="8" t="inlineStr">
        <is>
          <t>Unit 210</t>
        </is>
      </c>
      <c r="B7" s="9" t="inlineStr">
        <is>
          <t>Communication with others within building services engineering</t>
        </is>
      </c>
      <c r="C7" s="10" t="n">
        <v>28</v>
      </c>
      <c r="D7" s="10" t="n">
        <v>9</v>
      </c>
      <c r="E7" s="10" t="n">
        <v>27</v>
      </c>
      <c r="F7" s="20">
        <f>D7+E7</f>
        <v/>
      </c>
      <c r="G7" s="8" t="inlineStr">
        <is>
          <t>Written Assignment / e-volve Exam 210</t>
        </is>
      </c>
      <c r="H7" s="8" t="inlineStr">
        <is>
          <t>60% Pass Mark</t>
        </is>
      </c>
      <c r="I7" s="8" t="inlineStr">
        <is>
          <t>Term 1 (Wks 4–6)</t>
        </is>
      </c>
    </row>
    <row r="8">
      <c r="A8" s="8" t="inlineStr">
        <is>
          <t>Unit 202</t>
        </is>
      </c>
      <c r="B8" s="9" t="inlineStr">
        <is>
          <t>Principles of electrical science</t>
        </is>
      </c>
      <c r="C8" s="10" t="n">
        <v>89</v>
      </c>
      <c r="D8" s="10" t="n">
        <v>24</v>
      </c>
      <c r="E8" s="10" t="n">
        <v>72</v>
      </c>
      <c r="F8" s="20">
        <f>D8+E8</f>
        <v/>
      </c>
      <c r="G8" s="8" t="inlineStr">
        <is>
          <t>Online e-volve Exam 602 (40 MCQs)</t>
        </is>
      </c>
      <c r="H8" s="8" t="inlineStr">
        <is>
          <t>60% Pass Mark (24/40)</t>
        </is>
      </c>
      <c r="I8" s="8" t="inlineStr">
        <is>
          <t>Term 1 (Wks 7–14)</t>
        </is>
      </c>
    </row>
    <row r="9">
      <c r="A9" s="8" t="inlineStr">
        <is>
          <t>Unit 203</t>
        </is>
      </c>
      <c r="B9" s="9" t="inlineStr">
        <is>
          <t>Electrical installations technology</t>
        </is>
      </c>
      <c r="C9" s="10" t="n">
        <v>115</v>
      </c>
      <c r="D9" s="10" t="n">
        <v>30</v>
      </c>
      <c r="E9" s="10" t="n">
        <v>90</v>
      </c>
      <c r="F9" s="20">
        <f>D9+E9</f>
        <v/>
      </c>
      <c r="G9" s="8" t="inlineStr">
        <is>
          <t>Online e-volve Exam 203 (40 MCQs)</t>
        </is>
      </c>
      <c r="H9" s="8" t="inlineStr">
        <is>
          <t>60% Pass Mark (24/40)</t>
        </is>
      </c>
      <c r="I9" s="8" t="inlineStr">
        <is>
          <t>Term 2 (Wks 15–24)</t>
        </is>
      </c>
    </row>
    <row r="10">
      <c r="A10" s="8" t="inlineStr">
        <is>
          <t>Unit 204</t>
        </is>
      </c>
      <c r="B10" s="9" t="inlineStr">
        <is>
          <t>Installation of wiring systems and enclosures</t>
        </is>
      </c>
      <c r="C10" s="10" t="n">
        <v>196</v>
      </c>
      <c r="D10" s="10" t="n">
        <v>42</v>
      </c>
      <c r="E10" s="10" t="n">
        <v>126</v>
      </c>
      <c r="F10" s="20">
        <f>D10+E10</f>
        <v/>
      </c>
      <c r="G10" s="8" t="inlineStr">
        <is>
          <t>Practical Synoptic Workshop Assignment 204</t>
        </is>
      </c>
      <c r="H10" s="8" t="inlineStr">
        <is>
          <t>100% Practical &amp; Dead Test Pass</t>
        </is>
      </c>
      <c r="I10" s="8" t="inlineStr">
        <is>
          <t>Term 3 (Wks 25–38)</t>
        </is>
      </c>
    </row>
    <row r="11">
      <c r="A11" s="26" t="inlineStr">
        <is>
          <t>TOTAL DIPLOMA QUALIFICATION</t>
        </is>
      </c>
      <c r="B11" s="26" t="n"/>
      <c r="C11" s="27">
        <f>SUM(C6:C10)</f>
        <v/>
      </c>
      <c r="D11" s="27">
        <f>SUM(D6:D10)</f>
        <v/>
      </c>
      <c r="E11" s="27">
        <f>SUM(E6:E10)</f>
        <v/>
      </c>
      <c r="F11" s="27">
        <f>SUM(F6:F10)</f>
        <v/>
      </c>
      <c r="G11" s="26" t="n"/>
      <c r="H11" s="26" t="n"/>
      <c r="I11" s="26" t="n"/>
    </row>
  </sheetData>
  <mergeCells count="1">
    <mergeCell ref="A11:B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74" customWidth="1" min="1" max="1"/>
    <col width="14" customWidth="1" min="2" max="2"/>
    <col width="12" customWidth="1" min="3" max="3"/>
    <col width="38" customWidth="1" min="4" max="4"/>
    <col width="25" customWidth="1" min="5" max="5"/>
    <col width="20" customWidth="1" min="6" max="6"/>
    <col width="30" customWidth="1" min="7" max="7"/>
    <col width="14" customWidth="1" min="8" max="8"/>
    <col width="27" customWidth="1" min="9" max="9"/>
  </cols>
  <sheetData>
    <row r="1">
      <c r="A1" s="1" t="inlineStr">
        <is>
          <t>Level 2 Diploma Assessment &amp; Exam Schedule</t>
        </is>
      </c>
    </row>
    <row r="2">
      <c r="A2" s="2" t="inlineStr">
        <is>
          <t>City &amp; Guilds 2365-02 Milestone Dates, Exam Modes &amp; Assessment Criteria</t>
        </is>
      </c>
    </row>
    <row r="3"/>
    <row r="4"/>
    <row r="5">
      <c r="A5" s="7" t="inlineStr">
        <is>
          <t>Milestone #</t>
        </is>
      </c>
      <c r="B5" s="7" t="inlineStr">
        <is>
          <t>Target Week</t>
        </is>
      </c>
      <c r="C5" s="7" t="inlineStr">
        <is>
          <t>Unit Code</t>
        </is>
      </c>
      <c r="D5" s="7" t="inlineStr">
        <is>
          <t>Assessment Title</t>
        </is>
      </c>
      <c r="E5" s="7" t="inlineStr">
        <is>
          <t>Format / Exam Type</t>
        </is>
      </c>
      <c r="F5" s="7" t="inlineStr">
        <is>
          <t>Duration</t>
        </is>
      </c>
      <c r="G5" s="7" t="inlineStr">
        <is>
          <t>Pass Criteria</t>
        </is>
      </c>
      <c r="H5" s="7" t="inlineStr">
        <is>
          <t>Status</t>
        </is>
      </c>
      <c r="I5" s="7" t="inlineStr">
        <is>
          <t>Notes &amp; Remediation</t>
        </is>
      </c>
    </row>
    <row r="6">
      <c r="A6" s="8" t="inlineStr">
        <is>
          <t>M1</t>
        </is>
      </c>
      <c r="B6" s="8" t="inlineStr">
        <is>
          <t>Week 2</t>
        </is>
      </c>
      <c r="C6" s="8" t="inlineStr">
        <is>
          <t>Unit 201</t>
        </is>
      </c>
      <c r="D6" s="9" t="inlineStr">
        <is>
          <t>Task 211 Safe Isolation Practical</t>
        </is>
      </c>
      <c r="E6" s="9" t="inlineStr">
        <is>
          <t>Practical Observation</t>
        </is>
      </c>
      <c r="F6" s="8" t="inlineStr">
        <is>
          <t>45 mins</t>
        </is>
      </c>
      <c r="G6" s="9" t="inlineStr">
        <is>
          <t>100% Safe Procedure Pass</t>
        </is>
      </c>
      <c r="H6" s="11" t="inlineStr">
        <is>
          <t>Passed</t>
        </is>
      </c>
      <c r="I6" s="9" t="inlineStr">
        <is>
          <t>First attempt pass</t>
        </is>
      </c>
    </row>
    <row r="7">
      <c r="A7" s="8" t="inlineStr">
        <is>
          <t>M2</t>
        </is>
      </c>
      <c r="B7" s="8" t="inlineStr">
        <is>
          <t>Week 3</t>
        </is>
      </c>
      <c r="C7" s="8" t="inlineStr">
        <is>
          <t>Unit 201</t>
        </is>
      </c>
      <c r="D7" s="9" t="inlineStr">
        <is>
          <t>e-volve Exam 601 (Health &amp; Safety)</t>
        </is>
      </c>
      <c r="E7" s="9" t="inlineStr">
        <is>
          <t>Online Multiple Choice</t>
        </is>
      </c>
      <c r="F7" s="8" t="inlineStr">
        <is>
          <t>42 mins (20 MCQs)</t>
        </is>
      </c>
      <c r="G7" s="9" t="inlineStr">
        <is>
          <t>60% Pass Mark (12/20)</t>
        </is>
      </c>
      <c r="H7" s="11" t="inlineStr">
        <is>
          <t>Passed</t>
        </is>
      </c>
      <c r="I7" s="9" t="inlineStr">
        <is>
          <t>First attempt pass</t>
        </is>
      </c>
    </row>
    <row r="8">
      <c r="A8" s="8" t="inlineStr">
        <is>
          <t>M3</t>
        </is>
      </c>
      <c r="B8" s="8" t="inlineStr">
        <is>
          <t>Week 6</t>
        </is>
      </c>
      <c r="C8" s="8" t="inlineStr">
        <is>
          <t>Unit 210</t>
        </is>
      </c>
      <c r="D8" s="9" t="inlineStr">
        <is>
          <t>Unit 210 Communication Assignment</t>
        </is>
      </c>
      <c r="E8" s="9" t="inlineStr">
        <is>
          <t>Written / Portfolio</t>
        </is>
      </c>
      <c r="F8" s="8" t="inlineStr">
        <is>
          <t>Untimed</t>
        </is>
      </c>
      <c r="G8" s="9" t="inlineStr">
        <is>
          <t>60% Pass Mark</t>
        </is>
      </c>
      <c r="H8" s="11" t="inlineStr">
        <is>
          <t>In Progress</t>
        </is>
      </c>
      <c r="I8" s="9" t="inlineStr">
        <is>
          <t>Draft submitted</t>
        </is>
      </c>
    </row>
    <row r="9">
      <c r="A9" s="8" t="inlineStr">
        <is>
          <t>M4</t>
        </is>
      </c>
      <c r="B9" s="8" t="inlineStr">
        <is>
          <t>Week 14</t>
        </is>
      </c>
      <c r="C9" s="8" t="inlineStr">
        <is>
          <t>Unit 202</t>
        </is>
      </c>
      <c r="D9" s="9" t="inlineStr">
        <is>
          <t>e-volve Exam 602 (Electrical Science)</t>
        </is>
      </c>
      <c r="E9" s="9" t="inlineStr">
        <is>
          <t>Online Multiple Choice</t>
        </is>
      </c>
      <c r="F9" s="8" t="inlineStr">
        <is>
          <t>75 mins (40 MCQs)</t>
        </is>
      </c>
      <c r="G9" s="9" t="inlineStr">
        <is>
          <t>60% Pass Mark (24/40)</t>
        </is>
      </c>
      <c r="H9" s="11" t="inlineStr">
        <is>
          <t>Scheduled</t>
        </is>
      </c>
      <c r="I9" s="9" t="inlineStr">
        <is>
          <t>Formula sheet provided</t>
        </is>
      </c>
    </row>
    <row r="10">
      <c r="A10" s="8" t="inlineStr">
        <is>
          <t>M5</t>
        </is>
      </c>
      <c r="B10" s="8" t="inlineStr">
        <is>
          <t>Week 24</t>
        </is>
      </c>
      <c r="C10" s="8" t="inlineStr">
        <is>
          <t>Unit 203</t>
        </is>
      </c>
      <c r="D10" s="9" t="inlineStr">
        <is>
          <t>e-volve Exam 203 (Electrical Technology)</t>
        </is>
      </c>
      <c r="E10" s="9" t="inlineStr">
        <is>
          <t>Online Multiple Choice</t>
        </is>
      </c>
      <c r="F10" s="8" t="inlineStr">
        <is>
          <t>75 mins (40 MCQs)</t>
        </is>
      </c>
      <c r="G10" s="9" t="inlineStr">
        <is>
          <t>60% Pass Mark (24/40)</t>
        </is>
      </c>
      <c r="H10" s="11" t="inlineStr">
        <is>
          <t>Scheduled</t>
        </is>
      </c>
      <c r="I10" s="9" t="inlineStr">
        <is>
          <t>Closed book exam</t>
        </is>
      </c>
    </row>
    <row r="11">
      <c r="A11" s="8" t="inlineStr">
        <is>
          <t>M6</t>
        </is>
      </c>
      <c r="B11" s="8" t="inlineStr">
        <is>
          <t>Week 35</t>
        </is>
      </c>
      <c r="C11" s="8" t="inlineStr">
        <is>
          <t>Unit 204</t>
        </is>
      </c>
      <c r="D11" s="9" t="inlineStr">
        <is>
          <t>Consumer Unit &amp; MET Wiring Inspection</t>
        </is>
      </c>
      <c r="E11" s="9" t="inlineStr">
        <is>
          <t>Workshop Observation</t>
        </is>
      </c>
      <c r="F11" s="8" t="inlineStr">
        <is>
          <t>3.0 Hours</t>
        </is>
      </c>
      <c r="G11" s="9" t="inlineStr">
        <is>
          <t>100% Visual Inspection Pass</t>
        </is>
      </c>
      <c r="H11" s="11" t="inlineStr">
        <is>
          <t>Scheduled</t>
        </is>
      </c>
      <c r="I11" s="9" t="inlineStr">
        <is>
          <t>Pre-testing check</t>
        </is>
      </c>
    </row>
    <row r="12">
      <c r="A12" s="8" t="inlineStr">
        <is>
          <t>M7</t>
        </is>
      </c>
      <c r="B12" s="8" t="inlineStr">
        <is>
          <t>Week 37</t>
        </is>
      </c>
      <c r="C12" s="8" t="inlineStr">
        <is>
          <t>Unit 204</t>
        </is>
      </c>
      <c r="D12" s="9" t="inlineStr">
        <is>
          <t>Dead Testing Verification Sequence</t>
        </is>
      </c>
      <c r="E12" s="9" t="inlineStr">
        <is>
          <t>Practical Observation</t>
        </is>
      </c>
      <c r="F12" s="8" t="inlineStr">
        <is>
          <t>3.0 Hours</t>
        </is>
      </c>
      <c r="G12" s="9" t="inlineStr">
        <is>
          <t>100% Sequence &amp; Accuracy</t>
        </is>
      </c>
      <c r="H12" s="11" t="inlineStr">
        <is>
          <t>Scheduled</t>
        </is>
      </c>
      <c r="I12" s="9" t="inlineStr">
        <is>
          <t>CPC, Ring, IR, Polarity</t>
        </is>
      </c>
    </row>
    <row r="13">
      <c r="A13" s="8" t="inlineStr">
        <is>
          <t>M8</t>
        </is>
      </c>
      <c r="B13" s="8" t="inlineStr">
        <is>
          <t>Week 38</t>
        </is>
      </c>
      <c r="C13" s="8" t="inlineStr">
        <is>
          <t>Unit 204</t>
        </is>
      </c>
      <c r="D13" s="9" t="inlineStr">
        <is>
          <t>Practical Synoptic Task 204 Final Sign-off</t>
        </is>
      </c>
      <c r="E13" s="9" t="inlineStr">
        <is>
          <t>Practical Workshop Bay</t>
        </is>
      </c>
      <c r="F13" s="8" t="inlineStr">
        <is>
          <t>Full Bay</t>
        </is>
      </c>
      <c r="G13" s="9" t="inlineStr">
        <is>
          <t>100% Installation &amp; Test Pass</t>
        </is>
      </c>
      <c r="H13" s="11" t="inlineStr">
        <is>
          <t>Scheduled</t>
        </is>
      </c>
      <c r="I13" s="9" t="inlineStr">
        <is>
          <t>Final qualification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2026-10-12T13:00:27Z</dcterms:created>
  <dcterms:modified xmlns:dcterms="http://purl.org/dc/terms/" xmlns:xsi="http://www.w3.org/2001/XMLSchema-instance" xsi:type="dcterms:W3CDTF">2026-10-12T13:00:27Z</dcterms:modified>
</cp:coreProperties>
</file>